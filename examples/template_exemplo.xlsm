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6.xml" ContentType="application/vnd.openxmlformats-officedocument.spreadsheetml.worksheet+xml"/>
  <Override PartName="/xl/charts/chart1.xml" ContentType="application/vnd.openxmlformats-officedocument.drawingml.chart+xml"/>
  <Override PartName="/xl/workbook.xml" ContentType="application/vnd.ms-excel.sheet.macroEnabled.main+xml"/>
  <Default Extension="png" ContentType="image/png"/>
  <Override PartName="/xl/drawings/drawing2.xml" ContentType="application/vnd.openxmlformats-officedocument.drawing+xml"/>
  <Override PartName="/xl/charts/style1.xml" ContentType="application/vnd.ms-office.chartstyle+xml"/>
  <Override PartName="/xl/charts/colors1.xml" ContentType="application/vnd.ms-office.chartcolorstyle+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680" yWindow="-120" windowWidth="29040" windowHeight="15720" tabRatio="600" firstSheet="0" activeTab="5" autoFilterDateGrouping="1"/>
  </bookViews>
  <sheets>
    <sheet xmlns:r="http://schemas.openxmlformats.org/officeDocument/2006/relationships" name="Portada" sheetId="1" state="visible" r:id="rId1"/>
    <sheet xmlns:r="http://schemas.openxmlformats.org/officeDocument/2006/relationships" name="Control de versiones" sheetId="2" state="visible" r:id="rId2"/>
    <sheet xmlns:r="http://schemas.openxmlformats.org/officeDocument/2006/relationships" name="Doc Evaluados" sheetId="3" state="visible" r:id="rId3"/>
    <sheet xmlns:r="http://schemas.openxmlformats.org/officeDocument/2006/relationships" name="LPA" sheetId="4" state="visible" r:id="rId4"/>
    <sheet xmlns:r="http://schemas.openxmlformats.org/officeDocument/2006/relationships" name="Resumen Resultados" sheetId="5" state="visible" r:id="rId5"/>
    <sheet xmlns:r="http://schemas.openxmlformats.org/officeDocument/2006/relationships" name="Leyenda" sheetId="6" state="visible" r:id="rId6"/>
  </sheets>
  <definedNames>
    <definedName name="_xlnm.Print_Area" localSheetId="0">'Portada'!$A$1:$I$38</definedName>
    <definedName name="_xlnm.Print_Area" localSheetId="1">'Control de versiones'!$A$1:$C$8</definedName>
    <definedName name="_xlnm.Print_Area" localSheetId="2">'Doc Evaluados'!$A$1:$J$111</definedName>
    <definedName name="_xlnm._FilterDatabase" localSheetId="3" hidden="1">'LPA'!$A$1:$K$29</definedName>
    <definedName name="_xlnm.Print_Area" localSheetId="3">'LPA'!$A$1:$K$61</definedName>
    <definedName name="_xlnm.Print_Area" localSheetId="4">'Resumen Resultados'!$A$1:$K$32</definedName>
    <definedName name="_xlnm.Print_Area" localSheetId="5">'Leyenda'!$A$1:$E$29</definedName>
  </definedNames>
  <calcPr calcId="191029" fullCalcOnLoad="1"/>
  <pivotCaches>
    <pivotCache xmlns:r="http://schemas.openxmlformats.org/officeDocument/2006/relationships" cacheId="5" r:id="rId7"/>
  </pivotCaches>
</workbook>
</file>

<file path=xl/styles.xml><?xml version="1.0" encoding="utf-8"?>
<styleSheet xmlns="http://schemas.openxmlformats.org/spreadsheetml/2006/main">
  <numFmts count="1">
    <numFmt numFmtId="164" formatCode="0.0"/>
  </numFmts>
  <fonts count="24">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rgb="FF9C6500"/>
      <sz val="11"/>
      <scheme val="minor"/>
    </font>
    <font>
      <name val="Calibri"/>
      <family val="2"/>
      <color theme="1"/>
      <sz val="10"/>
      <scheme val="minor"/>
    </font>
    <font>
      <name val="Arial"/>
      <family val="2"/>
      <color theme="1"/>
      <sz val="9"/>
    </font>
    <font>
      <name val="Calibri"/>
      <family val="2"/>
      <b val="1"/>
      <color rgb="FF000000"/>
      <sz val="10"/>
      <scheme val="minor"/>
    </font>
    <font>
      <name val="Arial"/>
      <family val="2"/>
      <b val="1"/>
      <color theme="0"/>
      <sz val="9"/>
    </font>
    <font>
      <name val="Arial"/>
      <family val="2"/>
      <b val="1"/>
      <color rgb="FFFF0000"/>
      <sz val="9"/>
    </font>
    <font>
      <name val="Arial"/>
      <family val="2"/>
      <color rgb="FFFF0000"/>
      <sz val="9"/>
    </font>
    <font>
      <name val="Calibri"/>
      <family val="2"/>
      <b val="1"/>
      <color theme="1"/>
      <sz val="10"/>
      <scheme val="minor"/>
    </font>
    <font>
      <name val="Calibri"/>
      <family val="2"/>
      <b val="1"/>
      <color theme="1"/>
      <sz val="9"/>
      <scheme val="minor"/>
    </font>
    <font>
      <name val="Calibri"/>
      <family val="2"/>
      <sz val="11"/>
      <scheme val="minor"/>
    </font>
    <font>
      <name val="Calibri"/>
      <family val="2"/>
      <b val="1"/>
      <sz val="11"/>
      <scheme val="minor"/>
    </font>
    <font>
      <name val="Calibri"/>
      <family val="2"/>
      <sz val="8"/>
      <scheme val="minor"/>
    </font>
    <font>
      <name val="Calibri"/>
      <family val="2"/>
      <b val="1"/>
      <color theme="1"/>
      <sz val="14"/>
      <scheme val="minor"/>
    </font>
    <font>
      <name val="Arial"/>
      <family val="2"/>
      <sz val="9"/>
    </font>
    <font>
      <name val="Calibri"/>
      <family val="2"/>
      <b val="1"/>
      <color rgb="FF0070C0"/>
      <sz val="11"/>
      <scheme val="minor"/>
    </font>
    <font>
      <name val="Calibri"/>
      <family val="2"/>
      <b val="1"/>
      <color rgb="FF0070C0"/>
      <sz val="9"/>
      <scheme val="minor"/>
    </font>
    <font>
      <name val="Calibri"/>
      <family val="2"/>
      <color rgb="FF0070C0"/>
      <sz val="10"/>
      <scheme val="minor"/>
    </font>
    <font>
      <name val="Calibri"/>
      <family val="2"/>
      <b val="1"/>
      <sz val="9"/>
      <scheme val="minor"/>
    </font>
    <font>
      <name val="Calibri"/>
      <family val="2"/>
      <sz val="10"/>
      <scheme val="minor"/>
    </font>
    <font>
      <name val="Calibri"/>
      <family val="2"/>
      <b val="1"/>
      <sz val="10"/>
      <scheme val="minor"/>
    </font>
    <font>
      <name val="Calibri"/>
      <family val="2"/>
      <color rgb="FF0070C0"/>
      <sz val="11"/>
      <scheme val="minor"/>
    </font>
  </fonts>
  <fills count="10">
    <fill>
      <patternFill/>
    </fill>
    <fill>
      <patternFill patternType="gray125"/>
    </fill>
    <fill>
      <patternFill patternType="solid">
        <fgColor rgb="FFFFEB9C"/>
      </patternFill>
    </fill>
    <fill>
      <patternFill patternType="solid">
        <fgColor theme="0"/>
        <bgColor indexed="64"/>
      </patternFill>
    </fill>
    <fill>
      <patternFill patternType="solid">
        <fgColor rgb="FFFF7D31"/>
        <bgColor indexed="64"/>
      </patternFill>
    </fill>
    <fill>
      <patternFill patternType="solid">
        <fgColor theme="0" tint="-0.3499862666707358"/>
        <bgColor indexed="64"/>
      </patternFill>
    </fill>
    <fill>
      <patternFill patternType="solid">
        <fgColor rgb="FFD9D9D9"/>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0" fillId="0" borderId="0"/>
    <xf numFmtId="0" fontId="3" fillId="2" borderId="0"/>
  </cellStyleXfs>
  <cellXfs count="110">
    <xf numFmtId="0" fontId="0" fillId="0" borderId="0" pivotButton="0" quotePrefix="0" xfId="0"/>
    <xf numFmtId="0" fontId="0" fillId="0" borderId="0" applyAlignment="1" pivotButton="0" quotePrefix="0" xfId="0">
      <alignment horizontal="center"/>
    </xf>
    <xf numFmtId="0" fontId="2" fillId="0" borderId="0" pivotButton="0" quotePrefix="0" xfId="0"/>
    <xf numFmtId="0" fontId="2" fillId="0" borderId="0" applyAlignment="1" pivotButton="0" quotePrefix="0" xfId="0">
      <alignment vertical="center"/>
    </xf>
    <xf numFmtId="0" fontId="2" fillId="0" borderId="0" applyAlignment="1" pivotButton="0" quotePrefix="0" xfId="0">
      <alignment horizontal="center"/>
    </xf>
    <xf numFmtId="0" fontId="10" fillId="6" borderId="1" applyAlignment="1" pivotButton="0" quotePrefix="0" xfId="0">
      <alignment horizontal="center" vertical="center" wrapText="1"/>
    </xf>
    <xf numFmtId="0" fontId="6" fillId="6" borderId="1" applyAlignment="1" pivotButton="0" quotePrefix="0" xfId="0">
      <alignment horizontal="center" vertical="center" wrapText="1"/>
    </xf>
    <xf numFmtId="0" fontId="11" fillId="0" borderId="1" applyAlignment="1" pivotButton="0" quotePrefix="0" xfId="0">
      <alignment horizontal="center" vertical="center" wrapText="1"/>
    </xf>
    <xf numFmtId="0" fontId="6" fillId="6" borderId="1" applyAlignment="1" pivotButton="0" quotePrefix="0" xfId="0">
      <alignment vertical="center" wrapText="1"/>
    </xf>
    <xf numFmtId="0" fontId="2" fillId="0" borderId="1" applyAlignment="1" pivotButton="0" quotePrefix="0" xfId="0">
      <alignment wrapText="1"/>
    </xf>
    <xf numFmtId="0" fontId="2" fillId="8" borderId="1" applyAlignment="1" pivotButton="0" quotePrefix="0" xfId="0">
      <alignment wrapText="1"/>
    </xf>
    <xf numFmtId="0" fontId="0" fillId="0" borderId="1" applyAlignment="1" pivotButton="0" quotePrefix="0" xfId="0">
      <alignment wrapText="1"/>
    </xf>
    <xf numFmtId="0" fontId="2" fillId="8" borderId="1" applyAlignment="1" pivotButton="0" quotePrefix="0" xfId="0">
      <alignment vertical="center" wrapText="1"/>
    </xf>
    <xf numFmtId="0" fontId="2" fillId="0" borderId="1" applyAlignment="1" pivotButton="0" quotePrefix="0" xfId="0">
      <alignment vertical="center" wrapText="1"/>
    </xf>
    <xf numFmtId="0" fontId="12" fillId="0" borderId="1" applyAlignment="1" pivotButton="0" quotePrefix="0" xfId="0">
      <alignment wrapText="1"/>
    </xf>
    <xf numFmtId="14" fontId="12" fillId="0" borderId="1" applyAlignment="1" pivotButton="0" quotePrefix="0" xfId="0">
      <alignment horizontal="center" vertical="center"/>
    </xf>
    <xf numFmtId="164" fontId="12" fillId="0" borderId="1" applyAlignment="1" pivotButton="0" quotePrefix="0" xfId="0">
      <alignment horizontal="center" vertical="center" wrapText="1"/>
    </xf>
    <xf numFmtId="0" fontId="13" fillId="0" borderId="1" applyAlignment="1" pivotButton="0" quotePrefix="0" xfId="0">
      <alignment vertical="center"/>
    </xf>
    <xf numFmtId="0" fontId="12" fillId="0" borderId="1" applyAlignment="1" pivotButton="0" quotePrefix="0" xfId="0">
      <alignment horizontal="center" vertical="center"/>
    </xf>
    <xf numFmtId="0" fontId="12" fillId="0" borderId="0" pivotButton="0" quotePrefix="0" xfId="0"/>
    <xf numFmtId="164" fontId="12" fillId="0" borderId="1" applyAlignment="1" pivotButton="0" quotePrefix="0" xfId="0">
      <alignment horizontal="center" vertical="center"/>
    </xf>
    <xf numFmtId="0" fontId="4" fillId="0" borderId="1" applyAlignment="1" pivotButton="0" quotePrefix="0" xfId="0">
      <alignment vertical="center" wrapText="1"/>
    </xf>
    <xf numFmtId="0" fontId="0" fillId="0" borderId="0" pivotButton="1" quotePrefix="0" xfId="0"/>
    <xf numFmtId="0" fontId="0" fillId="0" borderId="0" applyAlignment="1" pivotButton="0" quotePrefix="0" xfId="0">
      <alignment horizontal="left"/>
    </xf>
    <xf numFmtId="0" fontId="0" fillId="5" borderId="0" applyAlignment="1" pivotButton="0" quotePrefix="0" xfId="0">
      <alignment horizontal="center"/>
    </xf>
    <xf numFmtId="0" fontId="0" fillId="0" borderId="1" applyAlignment="1" pivotButton="0" quotePrefix="0" xfId="0">
      <alignment horizontal="center"/>
    </xf>
    <xf numFmtId="14" fontId="11" fillId="0" borderId="1" applyAlignment="1" pivotButton="0" quotePrefix="0" xfId="0">
      <alignment horizontal="center" vertical="center" wrapText="1"/>
    </xf>
    <xf numFmtId="0" fontId="12" fillId="0" borderId="3" applyAlignment="1" pivotButton="0" quotePrefix="0" xfId="0">
      <alignment horizontal="center" vertical="center" wrapText="1"/>
    </xf>
    <xf numFmtId="0" fontId="12" fillId="0" borderId="1" applyAlignment="1" pivotButton="0" quotePrefix="0" xfId="0">
      <alignment vertical="top" wrapText="1"/>
    </xf>
    <xf numFmtId="0" fontId="18" fillId="0" borderId="1" applyAlignment="1" pivotButton="0" quotePrefix="0" xfId="0">
      <alignment horizontal="center" vertical="center" wrapText="1"/>
    </xf>
    <xf numFmtId="0" fontId="12" fillId="0" borderId="1" applyAlignment="1" pivotButton="0" quotePrefix="0" xfId="0">
      <alignment vertical="center"/>
    </xf>
    <xf numFmtId="0" fontId="20" fillId="0" borderId="1" applyAlignment="1" pivotButton="0" quotePrefix="0" xfId="0">
      <alignment horizontal="center" vertical="center" wrapText="1"/>
    </xf>
    <xf numFmtId="14" fontId="20" fillId="0" borderId="1" applyAlignment="1" pivotButton="0" quotePrefix="0" xfId="0">
      <alignment horizontal="center" vertical="center" wrapText="1"/>
    </xf>
    <xf numFmtId="0" fontId="21" fillId="0" borderId="1" applyAlignment="1" pivotButton="0" quotePrefix="0" xfId="0">
      <alignment vertical="center" wrapText="1"/>
    </xf>
    <xf numFmtId="0" fontId="12" fillId="3" borderId="1" applyAlignment="1" pivotButton="0" quotePrefix="0" xfId="0">
      <alignment vertical="top" wrapText="1"/>
    </xf>
    <xf numFmtId="0" fontId="12" fillId="9" borderId="1" applyAlignment="1" pivotButton="0" quotePrefix="0" xfId="0">
      <alignment vertical="top" wrapText="1"/>
    </xf>
    <xf numFmtId="164" fontId="12" fillId="0" borderId="3" applyAlignment="1" pivotButton="0" quotePrefix="0" xfId="0">
      <alignment horizontal="center" vertical="center" wrapText="1"/>
    </xf>
    <xf numFmtId="0" fontId="5" fillId="0" borderId="1" applyAlignment="1" pivotButton="0" quotePrefix="0" xfId="0">
      <alignment horizontal="center"/>
    </xf>
    <xf numFmtId="0" fontId="7" fillId="0" borderId="0" applyAlignment="1" pivotButton="0" quotePrefix="0" xfId="0">
      <alignment horizontal="center"/>
    </xf>
    <xf numFmtId="0" fontId="5" fillId="0" borderId="0" applyAlignment="1" pivotButton="0" quotePrefix="0" xfId="0">
      <alignment horizontal="center"/>
    </xf>
    <xf numFmtId="0" fontId="5" fillId="0" borderId="0" applyAlignment="1" pivotButton="0" quotePrefix="0" xfId="0">
      <alignment horizontal="center" vertical="center"/>
    </xf>
    <xf numFmtId="0" fontId="8" fillId="0" borderId="0" pivotButton="0" quotePrefix="0" xfId="0"/>
    <xf numFmtId="0" fontId="9" fillId="0" borderId="0" pivotButton="0" quotePrefix="0" xfId="0"/>
    <xf numFmtId="0" fontId="5" fillId="0" borderId="0" applyAlignment="1" pivotButton="0" quotePrefix="0" xfId="0">
      <alignment vertical="center" wrapText="1"/>
    </xf>
    <xf numFmtId="0" fontId="5" fillId="0" borderId="0" applyAlignment="1" pivotButton="0" quotePrefix="0" xfId="0">
      <alignment vertical="center"/>
    </xf>
    <xf numFmtId="0" fontId="7" fillId="0" borderId="0" pivotButton="0" quotePrefix="0" xfId="0"/>
    <xf numFmtId="0" fontId="5" fillId="0" borderId="0" pivotButton="0" quotePrefix="0" xfId="0"/>
    <xf numFmtId="0" fontId="16" fillId="0" borderId="0" applyAlignment="1" pivotButton="0" quotePrefix="0" xfId="0">
      <alignment vertical="center" wrapText="1"/>
    </xf>
    <xf numFmtId="0" fontId="5" fillId="0" borderId="1" applyAlignment="1" pivotButton="0" quotePrefix="0" xfId="0">
      <alignment horizontal="center" vertical="center"/>
    </xf>
    <xf numFmtId="0" fontId="12" fillId="0" borderId="0" applyAlignment="1" pivotButton="0" quotePrefix="0" xfId="0">
      <alignment horizontal="center"/>
    </xf>
    <xf numFmtId="0" fontId="22" fillId="6" borderId="3" applyAlignment="1" pivotButton="0" quotePrefix="0" xfId="0">
      <alignment horizontal="center" vertical="center" wrapText="1"/>
    </xf>
    <xf numFmtId="0" fontId="13" fillId="4" borderId="0" applyAlignment="1" pivotButton="0" quotePrefix="0" xfId="0">
      <alignment horizontal="center"/>
    </xf>
    <xf numFmtId="0" fontId="13" fillId="4" borderId="0" applyAlignment="1" pivotButton="0" quotePrefix="0" xfId="0">
      <alignment horizontal="center" vertical="center"/>
    </xf>
    <xf numFmtId="0" fontId="13" fillId="4" borderId="2" applyAlignment="1" pivotButton="0" quotePrefix="0" xfId="0">
      <alignment vertical="center"/>
    </xf>
    <xf numFmtId="0" fontId="13" fillId="4" borderId="2" pivotButton="0" quotePrefix="0" xfId="0"/>
    <xf numFmtId="0" fontId="13" fillId="4" borderId="2" applyAlignment="1" pivotButton="0" quotePrefix="0" xfId="0">
      <alignment vertical="top"/>
    </xf>
    <xf numFmtId="0" fontId="13" fillId="4" borderId="0" pivotButton="0" quotePrefix="0" xfId="0"/>
    <xf numFmtId="0" fontId="12" fillId="0" borderId="1" pivotButton="0" quotePrefix="0" xfId="0"/>
    <xf numFmtId="0" fontId="12" fillId="0" borderId="0" applyAlignment="1" pivotButton="0" quotePrefix="0" xfId="0">
      <alignment vertical="center"/>
    </xf>
    <xf numFmtId="0" fontId="12" fillId="0" borderId="0" applyAlignment="1" pivotButton="0" quotePrefix="0" xfId="0">
      <alignment wrapText="1"/>
    </xf>
    <xf numFmtId="0" fontId="12" fillId="0" borderId="3" applyAlignment="1" pivotButton="0" quotePrefix="0" xfId="0">
      <alignment horizontal="center" vertical="center" wrapText="1"/>
    </xf>
    <xf numFmtId="0" fontId="12" fillId="0" borderId="6" applyAlignment="1" pivotButton="0" quotePrefix="0" xfId="0">
      <alignment horizontal="center" vertical="center" wrapText="1"/>
    </xf>
    <xf numFmtId="0" fontId="12" fillId="0" borderId="5" applyAlignment="1" pivotButton="0" quotePrefix="0" xfId="0">
      <alignment horizontal="center" vertical="center" wrapText="1"/>
    </xf>
    <xf numFmtId="0" fontId="13" fillId="4" borderId="4" applyAlignment="1" pivotButton="0" quotePrefix="0" xfId="0">
      <alignment horizontal="center"/>
    </xf>
    <xf numFmtId="0" fontId="13" fillId="4" borderId="2" applyAlignment="1" pivotButton="0" quotePrefix="0" xfId="0">
      <alignment horizontal="center"/>
    </xf>
    <xf numFmtId="0" fontId="12" fillId="0" borderId="3" applyAlignment="1" pivotButton="0" quotePrefix="0" xfId="0">
      <alignment horizontal="center" vertical="center"/>
    </xf>
    <xf numFmtId="0" fontId="12" fillId="0" borderId="6" applyAlignment="1" pivotButton="0" quotePrefix="0" xfId="0">
      <alignment horizontal="center" vertical="center"/>
    </xf>
    <xf numFmtId="0" fontId="12" fillId="0" borderId="5" applyAlignment="1" pivotButton="0" quotePrefix="0" xfId="0">
      <alignment horizontal="center" vertical="center"/>
    </xf>
    <xf numFmtId="0" fontId="12" fillId="7" borderId="3" applyAlignment="1" pivotButton="0" quotePrefix="0" xfId="0">
      <alignment horizontal="center" vertical="center" wrapText="1"/>
    </xf>
    <xf numFmtId="0" fontId="12" fillId="7" borderId="6" applyAlignment="1" pivotButton="0" quotePrefix="0" xfId="0">
      <alignment horizontal="center" vertical="center" wrapText="1"/>
    </xf>
    <xf numFmtId="0" fontId="12" fillId="7" borderId="5" applyAlignment="1" pivotButton="0" quotePrefix="0" xfId="0">
      <alignment horizontal="center" vertical="center" wrapText="1"/>
    </xf>
    <xf numFmtId="0" fontId="2" fillId="7" borderId="3" applyAlignment="1" pivotButton="0" quotePrefix="0" xfId="0">
      <alignment horizontal="center"/>
    </xf>
    <xf numFmtId="0" fontId="5" fillId="0" borderId="1" applyAlignment="1" pivotButton="0" quotePrefix="0" xfId="0">
      <alignment horizontal="center"/>
    </xf>
    <xf numFmtId="0" fontId="5" fillId="0" borderId="1" applyAlignment="1" pivotButton="0" quotePrefix="0" xfId="0">
      <alignment horizontal="center" vertical="center" wrapText="1"/>
    </xf>
    <xf numFmtId="0" fontId="5" fillId="0" borderId="7" applyAlignment="1" pivotButton="0" quotePrefix="0" xfId="0">
      <alignment horizontal="center"/>
    </xf>
    <xf numFmtId="0" fontId="5" fillId="0" borderId="9" applyAlignment="1" pivotButton="0" quotePrefix="0" xfId="0">
      <alignment horizontal="center"/>
    </xf>
    <xf numFmtId="0" fontId="5" fillId="0" borderId="7" applyAlignment="1" pivotButton="0" quotePrefix="0" xfId="0">
      <alignment horizontal="center" vertical="center"/>
    </xf>
    <xf numFmtId="0" fontId="5" fillId="0" borderId="9" applyAlignment="1" pivotButton="0" quotePrefix="0" xfId="0">
      <alignment horizontal="center" vertical="center"/>
    </xf>
    <xf numFmtId="0" fontId="2" fillId="0" borderId="1" applyAlignment="1" pivotButton="0" quotePrefix="0" xfId="0">
      <alignment horizontal="center"/>
    </xf>
    <xf numFmtId="0" fontId="15" fillId="0" borderId="0" applyAlignment="1" pivotButton="0" quotePrefix="0" xfId="0">
      <alignment horizontal="center" vertical="center" wrapText="1"/>
    </xf>
    <xf numFmtId="0" fontId="2" fillId="0" borderId="0" applyAlignment="1" pivotButton="0" quotePrefix="0" xfId="0">
      <alignment horizontal="center" vertical="center"/>
    </xf>
    <xf numFmtId="0" fontId="2" fillId="0" borderId="7" applyAlignment="1" pivotButton="0" quotePrefix="0" xfId="0">
      <alignment horizontal="center"/>
    </xf>
    <xf numFmtId="0" fontId="2" fillId="0" borderId="8" applyAlignment="1" pivotButton="0" quotePrefix="0" xfId="0">
      <alignment horizontal="center"/>
    </xf>
    <xf numFmtId="0" fontId="2" fillId="0" borderId="9" applyAlignment="1" pivotButton="0" quotePrefix="0" xfId="0">
      <alignment horizontal="center"/>
    </xf>
    <xf numFmtId="0" fontId="1" fillId="4" borderId="1" applyAlignment="1" pivotButton="0" quotePrefix="0" xfId="0">
      <alignment horizontal="center"/>
    </xf>
    <xf numFmtId="0" fontId="12" fillId="0" borderId="1" applyAlignment="1" pivotButton="0" quotePrefix="0" xfId="0">
      <alignment horizontal="center" vertical="center"/>
    </xf>
    <xf numFmtId="0" fontId="12" fillId="0" borderId="1" applyAlignment="1" pivotButton="0" quotePrefix="0" xfId="0">
      <alignment horizontal="center" vertical="center" wrapText="1"/>
    </xf>
    <xf numFmtId="0" fontId="12" fillId="7" borderId="1" applyAlignment="1" pivotButton="0" quotePrefix="0" xfId="0">
      <alignment horizontal="center" vertical="center" wrapText="1"/>
    </xf>
    <xf numFmtId="0" fontId="1" fillId="4" borderId="1" applyAlignment="1" pivotButton="0" quotePrefix="0" xfId="0">
      <alignment horizontal="center" wrapText="1"/>
    </xf>
    <xf numFmtId="164" fontId="23" fillId="0" borderId="1" applyAlignment="1" pivotButton="0" quotePrefix="0" xfId="0">
      <alignment horizontal="center" vertical="center"/>
    </xf>
    <xf numFmtId="14" fontId="23" fillId="0" borderId="1" applyAlignment="1" pivotButton="0" quotePrefix="0" xfId="0">
      <alignment horizontal="center" vertical="center"/>
    </xf>
    <xf numFmtId="0" fontId="23" fillId="0" borderId="1" applyAlignment="1" pivotButton="0" quotePrefix="0" xfId="0">
      <alignment horizontal="center" vertical="center"/>
    </xf>
    <xf numFmtId="0" fontId="23" fillId="7" borderId="3" applyAlignment="1" pivotButton="0" quotePrefix="0" xfId="0">
      <alignment horizontal="center" vertical="center" wrapText="1"/>
    </xf>
    <xf numFmtId="0" fontId="23" fillId="7" borderId="5" applyAlignment="1" pivotButton="0" quotePrefix="0" xfId="0">
      <alignment horizontal="center" vertical="center" wrapText="1"/>
    </xf>
    <xf numFmtId="164" fontId="23" fillId="0" borderId="3" applyAlignment="1" pivotButton="0" quotePrefix="0" xfId="0">
      <alignment horizontal="center" vertical="center" wrapText="1"/>
    </xf>
    <xf numFmtId="0" fontId="0" fillId="0" borderId="1" applyAlignment="1" pivotButton="0" quotePrefix="0" xfId="0">
      <alignment horizontal="center"/>
    </xf>
    <xf numFmtId="0" fontId="0" fillId="5" borderId="0" applyAlignment="1" pivotButton="0" quotePrefix="0" xfId="0">
      <alignment horizontal="center"/>
    </xf>
    <xf numFmtId="14" fontId="18" fillId="0" borderId="1" applyAlignment="1" pivotButton="0" quotePrefix="0" xfId="0">
      <alignment horizontal="center" vertical="center" wrapText="1"/>
    </xf>
    <xf numFmtId="0" fontId="19" fillId="0" borderId="1" applyAlignment="1" pivotButton="0" quotePrefix="0" xfId="0">
      <alignment vertical="center" wrapText="1"/>
    </xf>
    <xf numFmtId="164" fontId="12" fillId="0" borderId="3" applyAlignment="1" pivotButton="0" quotePrefix="0" xfId="0">
      <alignment horizontal="center" vertical="center" wrapText="1"/>
    </xf>
    <xf numFmtId="164" fontId="12" fillId="0" borderId="5" applyAlignment="1" pivotButton="0" quotePrefix="0" xfId="0">
      <alignment horizontal="center" vertical="center" wrapText="1"/>
    </xf>
    <xf numFmtId="0" fontId="23" fillId="7" borderId="6" applyAlignment="1" pivotButton="0" quotePrefix="0" xfId="0">
      <alignment horizontal="center" vertical="center" wrapText="1"/>
    </xf>
    <xf numFmtId="0" fontId="0" fillId="0" borderId="10" pivotButton="0" quotePrefix="0" xfId="0"/>
    <xf numFmtId="0" fontId="0" fillId="0" borderId="11" pivotButton="0" quotePrefix="0" xfId="0"/>
    <xf numFmtId="0" fontId="0" fillId="0" borderId="8" pivotButton="0" quotePrefix="0" xfId="0"/>
    <xf numFmtId="0" fontId="0" fillId="0" borderId="9" pivotButton="0" quotePrefix="0" xfId="0"/>
    <xf numFmtId="0" fontId="0" fillId="0" borderId="2" pivotButton="0" quotePrefix="0" xfId="0"/>
    <xf numFmtId="0" fontId="23" fillId="7" borderId="1" applyAlignment="1" pivotButton="0" quotePrefix="0" xfId="0">
      <alignment horizontal="center" vertical="center" wrapText="1"/>
    </xf>
    <xf numFmtId="0" fontId="0" fillId="0" borderId="5" pivotButton="0" quotePrefix="0" xfId="0"/>
    <xf numFmtId="0" fontId="0" fillId="0" borderId="6" pivotButton="0" quotePrefix="0" xfId="0"/>
  </cellXfs>
  <cellStyles count="2">
    <cellStyle name="Normal" xfId="0" builtinId="0"/>
    <cellStyle name="Neutral 2" xfId="1"/>
  </cellStyles>
  <dxfs count="27">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fill>
        <patternFill patternType="solid">
          <bgColor theme="0" tint="-0.3499862666707358"/>
        </patternFill>
      </fill>
    </dxf>
    <dxf>
      <fill>
        <patternFill patternType="solid">
          <bgColor theme="0" tint="-0.3499862666707358"/>
        </patternFill>
      </fill>
    </dxf>
    <dxf>
      <alignment horizontal="center"/>
    </dxf>
    <dxf>
      <alignment horizontal="center"/>
    </dxf>
    <dxf>
      <alignment horizontal="center"/>
    </dxf>
    <dxf>
      <alignment horizontal="center"/>
    </dxf>
    <dxf>
      <alignment horizontal="center"/>
    </dxf>
    <dxf>
      <alignment horizontal="center"/>
    </dxf>
    <dxf>
      <fill>
        <patternFill patternType="solid">
          <bgColor theme="0" tint="-0.3499862666707358"/>
        </patternFill>
      </fill>
    </dxf>
    <dxf>
      <fill>
        <patternFill patternType="solid">
          <bgColor theme="0" tint="-0.3499862666707358"/>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pivotCacheDefinition" Target="/xl/pivotCache/pivotCacheDefinition1.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[EXC2025-16126-1-002-LPA-05.xlsm]Resumen Resultados!TablaDinámica5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'Resumen Resultados'!$C$3:$C$4</c:f>
              <c:strCache>
                <c:ptCount val="1"/>
                <c:pt idx="0">
                  <c:v>Cerrado</c:v>
                </c:pt>
              </c:strCache>
            </c:strRef>
          </c:tx>
          <c:spPr>
            <a:solidFill>
              <a:srgbClr val="00B050"/>
            </a:solidFill>
            <a:ln>
              <a:noFill/>
            </a:ln>
            <a:effectLst/>
          </c:spPr>
          <c:invertIfNegative val="0"/>
          <c:cat>
            <c:strRef>
              <c:f>'Resumen Resultados'!$B$5:$B$9</c:f>
              <c:strCache>
                <c:ptCount val="4"/>
                <c:pt idx="0">
                  <c:v>Crítico</c:v>
                </c:pt>
                <c:pt idx="1">
                  <c:v>Importante</c:v>
                </c:pt>
                <c:pt idx="2">
                  <c:v>Informativo</c:v>
                </c:pt>
                <c:pt idx="3">
                  <c:v>Formal</c:v>
                </c:pt>
              </c:strCache>
            </c:strRef>
          </c:cat>
          <c:val>
            <c:numRef>
              <c:f>'Resumen Resultados'!$C$5:$C$9</c:f>
              <c:numCache>
                <c:formatCode>General</c:formatCode>
                <c:ptCount val="4"/>
                <c:pt idx="0">
                  <c:v>6</c:v>
                </c:pt>
                <c:pt idx="1">
                  <c:v>8</c:v>
                </c:pt>
                <c:pt idx="2">
                  <c:v>2</c:v>
                </c:pt>
                <c:pt idx="3">
                  <c:v>2</c:v>
                </c:pt>
              </c:numCache>
            </c:numRef>
          </c:val>
          <c:extLst>
            <c:ext xmlns:c16="http://schemas.microsoft.com/office/drawing/2014/chart" uri="{C3380CC4-5D6E-409C-BE32-E72D297353CC}">
              <c16:uniqueId val="{00000000-4FC9-4606-9EB5-6EBC021FEBBE}"/>
            </c:ext>
          </c:extLst>
        </c:ser>
        <c:dLbls>
          <c:showLegendKey val="0"/>
          <c:showVal val="0"/>
          <c:showCatName val="0"/>
          <c:showSerName val="0"/>
          <c:showPercent val="0"/>
          <c:showBubbleSize val="0"/>
        </c:dLbls>
        <c:gapWidth val="219"/>
        <c:overlap val="-27"/>
        <c:axId val="1299341679"/>
        <c:axId val="1299341263"/>
      </c:barChart>
      <c:catAx>
        <c:axId val="1299341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9341263"/>
        <c:crosses val="autoZero"/>
        <c:auto val="1"/>
        <c:lblAlgn val="ctr"/>
        <c:lblOffset val="100"/>
        <c:tickMarkSkip val="1"/>
        <c:noMultiLvlLbl val="0"/>
      </c:catAx>
      <c:valAx>
        <c:axId val="1299341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9341679"/>
        <c:crosses val="autoZero"/>
        <c:crossBetween val="between"/>
        <c:majorUnit val="1"/>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561975</xdr:colOff>
      <xdr:row>2</xdr:row>
      <xdr:rowOff>133350</xdr:rowOff>
    </xdr:from>
    <xdr:to>
      <xdr:col>4</xdr:col>
      <xdr:colOff>94615</xdr:colOff>
      <xdr:row>10</xdr:row>
      <xdr:rowOff>123825</xdr:rowOff>
    </xdr:to>
    <xdr:pic>
      <xdr:nvPicPr>
        <xdr:cNvPr id="2" name="Imagen 1">
          <a:extLst>
            <a:ext uri="{FF2B5EF4-FFF2-40B4-BE49-F238E27FC236}">
              <a16:creationId xmlns:a16="http://schemas.microsoft.com/office/drawing/2014/main" id="{881993BF-4264-4A47-81F9-9EEE687463D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0" y="1466850"/>
          <a:ext cx="4029075" cy="15144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962025</xdr:colOff>
      <xdr:row>10</xdr:row>
      <xdr:rowOff>119062</xdr:rowOff>
    </xdr:from>
    <xdr:to>
      <xdr:col>9</xdr:col>
      <xdr:colOff>285750</xdr:colOff>
      <xdr:row>28</xdr:row>
      <xdr:rowOff>28575</xdr:rowOff>
    </xdr:to>
    <xdr:graphicFrame macro="">
      <xdr:nvGraphicFramePr>
        <xdr:cNvPr id="2" name="Gráfico 1">
          <a:extLst>
            <a:ext uri="{FF2B5EF4-FFF2-40B4-BE49-F238E27FC236}">
              <a16:creationId xmlns:a16="http://schemas.microsoft.com/office/drawing/2014/main" id="{BC7E0F2B-141A-49C4-8A29-1F17B277B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142874</xdr:colOff>
      <xdr:row>3</xdr:row>
      <xdr:rowOff>76201</xdr:rowOff>
    </xdr:from>
    <xdr:to>
      <xdr:col>10</xdr:col>
      <xdr:colOff>323849</xdr:colOff>
      <xdr:row>7</xdr:row>
      <xdr:rowOff>38101</xdr:rowOff>
    </xdr:to>
    <xdr:sp macro="[0]!Actualizar" textlink="">
      <xdr:nvSpPr>
        <xdr:cNvPr id="3" name="Elipse 2">
          <a:extLst>
            <a:ext uri="{FF2B5EF4-FFF2-40B4-BE49-F238E27FC236}">
              <a16:creationId xmlns:a16="http://schemas.microsoft.com/office/drawing/2014/main" id="{7DF1F962-7ADD-46FA-B9E2-642896869977}"/>
            </a:ext>
          </a:extLst>
        </xdr:cNvPr>
        <xdr:cNvSpPr/>
      </xdr:nvSpPr>
      <xdr:spPr>
        <a:xfrm>
          <a:off x="6838949" y="647701"/>
          <a:ext cx="1704975" cy="723900"/>
        </a:xfrm>
        <a:prstGeom prst="ellipse">
          <a:avLst/>
        </a:prstGeom>
        <a:solidFill>
          <a:srgbClr val="FF69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800" b="1"/>
            <a:t>Actualizar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o.abad" refreshedDate="46178.504455787035" createdVersion="6" refreshedVersion="8" minRefreshableVersion="3" recordCount="64" xr:uid="{9C082B54-143B-4F66-9A64-90697C1436F0}">
  <cacheSource type="worksheet">
    <worksheetSource ref="A1:K1048576" sheet="LPA"/>
  </cacheSource>
  <cacheFields count="11">
    <cacheField name="Nº" numFmtId="0">
      <sharedItems containsString="0" containsBlank="1" containsNumber="1" containsInteger="1" minValue="1" maxValue="18"/>
    </cacheField>
    <cacheField name="Eval" numFmtId="0">
      <sharedItems containsBlank="1"/>
    </cacheField>
    <cacheField name="Nombre del documento" numFmtId="0">
      <sharedItems containsBlank="1"/>
    </cacheField>
    <cacheField name="Ref. documento" numFmtId="0">
      <sharedItems containsBlank="1"/>
    </cacheField>
    <cacheField name="Pto." numFmtId="0">
      <sharedItems containsBlank="1"/>
    </cacheField>
    <cacheField name="Valoración" numFmtId="0">
      <sharedItems containsBlank="1" count="5">
        <s v="Crítico"/>
        <m/>
        <s v="Informativo"/>
        <s v="Importante"/>
        <s v="Formal"/>
      </sharedItems>
    </cacheField>
    <cacheField name="Hallazgo" numFmtId="0">
      <sharedItems containsBlank="1"/>
    </cacheField>
    <cacheField name="Versión" numFmtId="0">
      <sharedItems containsBlank="1" containsMixedTypes="1" containsNumber="1" containsInteger="1" minValue="4" maxValue="7"/>
    </cacheField>
    <cacheField name="Discusión" numFmtId="0">
      <sharedItems containsBlank="1" longText="1"/>
    </cacheField>
    <cacheField name="aa" numFmtId="0">
      <sharedItems containsBlank="1"/>
    </cacheField>
    <cacheField name="Estado" numFmtId="0">
      <sharedItems containsBlank="1" count="4">
        <s v="Cerrado"/>
        <m/>
        <s v="Abierto" u="1"/>
        <s v="Resuelto"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n v="1"/>
    <s v="SM"/>
    <s v="Firmas documentación evaluada"/>
    <s v="NA"/>
    <s v="pestaña &quot;Doc Evaluados&quot; de este documento"/>
    <x v="0"/>
    <s v="Hallazgo"/>
    <s v="NA"/>
    <s v="Todos los documentos evaluados deben estar debidamente firmados (ver aquellos que figuran sin firmar en la pestaña &quot;Doc Evaluados&quot;)"/>
    <s v="Cerrado"/>
    <x v="0"/>
  </r>
  <r>
    <m/>
    <m/>
    <m/>
    <m/>
    <m/>
    <x v="1"/>
    <s v="Respuesta UTE (02/02/2025)"/>
    <m/>
    <s v="El anejo de estudio previo de seguridad se encuentra firmado (Pág 20)"/>
    <s v="Cerrado"/>
    <x v="1"/>
  </r>
  <r>
    <m/>
    <m/>
    <m/>
    <m/>
    <m/>
    <x v="1"/>
    <s v="Respuesta Exceltic (25/02/2026)"/>
    <m/>
    <s v="Se observa el documento firmado y se cierra el hallazgo."/>
    <s v="Cerrado"/>
    <x v="1"/>
  </r>
  <r>
    <n v="2"/>
    <s v="SM"/>
    <s v="Anejo 27. Estudio Previo Seguridad"/>
    <s v="Anejo 27. Estudio Previo Seguridad"/>
    <s v="Apartado 1.1"/>
    <x v="2"/>
    <s v="Hallazgo"/>
    <n v="4"/>
    <s v="En el apartado &quot;1.1. Tipo de cambio. Afección a la seguridad operacional y significatividad&quot; se indica &quot;Pendientes de recibir documentación de ADIF respecto a la significativa del cambio ya que es proponente de la actuación.&quot;. Se solicita aclarar si se ha realizado y se dispone de la significatividad del cambio realizada por el proponente."/>
    <s v="Cerrado"/>
    <x v="0"/>
  </r>
  <r>
    <m/>
    <m/>
    <m/>
    <m/>
    <m/>
    <x v="1"/>
    <s v="Respuesta UTE (02/02/2025)"/>
    <m/>
    <s v="Se actualiza ya que se dispone de la significatividad"/>
    <s v="Cerrado"/>
    <x v="1"/>
  </r>
  <r>
    <m/>
    <m/>
    <m/>
    <m/>
    <m/>
    <x v="1"/>
    <s v="Respuesta Exceltic (25/02/2026)"/>
    <m/>
    <s v="Se observa que se ha indicado como significativo el cambio y se Ha incluido en el EPS. Se da por cerrado el hallazgo."/>
    <s v="Cerrado"/>
    <x v="1"/>
  </r>
  <r>
    <n v="3"/>
    <s v="MRG_x000a_SM"/>
    <s v="Anejo 27. Estudio Previo Seguridad"/>
    <s v="Anejo 27. Estudio Previo Seguridad"/>
    <s v="Definición del sistema"/>
    <x v="2"/>
    <s v="Hallazgo"/>
    <n v="4"/>
    <s v="En la Definición del Sistema, apartado 2 (energía) se indica unicamente instalación de protección antiescalada en psotes en andenes. Sin embargo, en el Anejo 10 apartado 3 (electrificación) se indica como actuaciones en energía Instalación de dispositivos limitadores de tensión en andenes. Se solicita adecuar la definición del cambio a las actuaciones que finalmente se realizan de cada subsistema."/>
    <s v="Cerrado"/>
    <x v="0"/>
  </r>
  <r>
    <m/>
    <m/>
    <m/>
    <m/>
    <m/>
    <x v="1"/>
    <s v="Respuesta UTE (02/02/2025)"/>
    <m/>
    <s v="Se actualiza las actuaciones de energía"/>
    <s v="Cerrado"/>
    <x v="1"/>
  </r>
  <r>
    <m/>
    <m/>
    <m/>
    <m/>
    <m/>
    <x v="1"/>
    <s v="Respuesta Exceltic (25/02/2026)"/>
    <m/>
    <s v="Se observan los cambios y se da por cerrado el hallazgo"/>
    <s v="Cerrado"/>
    <x v="1"/>
  </r>
  <r>
    <n v="4"/>
    <s v="MRG_x000a_SM"/>
    <s v="Anejo 27. Estudio Previo Seguridad"/>
    <s v="Anejo 27. Estudio Previo Seguridad"/>
    <s v="Apéndice 1 REP"/>
    <x v="0"/>
    <s v="Hallazgo"/>
    <n v="4"/>
    <s v="En el REP Peligro ID2 referente a drenajes de taludes se indica como evidencia el Anejo 10 Instalaciones Ferroviarias apartado 3 y planos 8.1 y 8.2, no haciendo referencia a drenajes dicha evidencia. Se solicita revisar evidencias."/>
    <s v="Cerrado"/>
    <x v="0"/>
  </r>
  <r>
    <m/>
    <m/>
    <m/>
    <m/>
    <m/>
    <x v="1"/>
    <s v="Respuesta UTE (02/02/2025)"/>
    <m/>
    <s v="Se cancela el peligro ID.1 e ID.2 puesto que en el ámbito del proyecto no existen taludes al realizarse la actuación en el ámbito de la estación el cual cuenta con un terreno llano. "/>
    <s v="Cerrado"/>
    <x v="1"/>
  </r>
  <r>
    <m/>
    <m/>
    <m/>
    <m/>
    <m/>
    <x v="1"/>
    <s v="Respuesta Exceltic (25/02/2026)"/>
    <m/>
    <s v="Se indica que no existen taludes en la zona de la actuación y se cancela el peligro. Se da por cerrado el hallazgo"/>
    <s v="Cerrado"/>
    <x v="1"/>
  </r>
  <r>
    <n v="5"/>
    <s v="MRG_x000a_SM"/>
    <s v="Anejo 27. Estudio Previo Seguridad"/>
    <s v="Anejo 27. Estudio Previo Seguridad"/>
    <s v="Apéndice 1 REP"/>
    <x v="3"/>
    <s v="Hallazgo"/>
    <n v="4"/>
    <s v="En el peligro ID4 Impacto de vehiculos descarrilado sobre pilares/apoyos de estructuras existentes se indica evidencia Anejo 8 apartado 5. Sin embargo, no se encuentra en dicho apartado/anejo las comprobaciones de distancias sobre elementos existentes indicadas en las medidas de mitigación ni referencia a estructuras existentes. Se solicita aclarar/incluir"/>
    <s v="Cerrado"/>
    <x v="0"/>
  </r>
  <r>
    <m/>
    <m/>
    <m/>
    <m/>
    <m/>
    <x v="1"/>
    <s v="Respuesta UTE (02/02/2025)"/>
    <m/>
    <s v="Se actualiza evidencia"/>
    <s v="Cerrado"/>
    <x v="1"/>
  </r>
  <r>
    <m/>
    <m/>
    <m/>
    <m/>
    <m/>
    <x v="1"/>
    <s v="Respuesta Exceltic (25/02/2026)"/>
    <m/>
    <s v="Se observa que se ha actualizado la evidencia. _x000a__x000a_Se indica como evidencia la Memoria y el Documento nº 3. PLIEGO DE PRESCRIPCIONES TÉCNICAS PARTICULARES_x000a_Capítulo III: 1.2, y no se observa dentro de los documentos indicados relación con el RQ indicado ni con la comprobación de las distancias de los elementos estructurales existentes que mitigan el peligro. Se solicita aclarar."/>
    <s v="Cerrado"/>
    <x v="1"/>
  </r>
  <r>
    <m/>
    <m/>
    <m/>
    <m/>
    <m/>
    <x v="1"/>
    <s v="Respuesta UTE (26/02/2026)"/>
    <m/>
    <s v="Las únicas estructuras nuevas sobre rasante son las estructuras metálicas de las marquesinas. Se encuantran fuera de los andene existentes, en la zona de ampliación, a una distancia algo superior a 5,60m en andén 1 y 7,50m en el andén 2. Se cancela el peligro dado que no existen pasos superiores en el alcance del proyecto. "/>
    <s v="Cerrado"/>
    <x v="1"/>
  </r>
  <r>
    <m/>
    <m/>
    <m/>
    <m/>
    <m/>
    <x v="1"/>
    <s v="Respuesta Exceltic (05/03/2026)"/>
    <m/>
    <s v="Se comprueba y se da por cerrado el hallazgo."/>
    <s v="Cerrado"/>
    <x v="1"/>
  </r>
  <r>
    <n v="6"/>
    <s v="MRG_x000a_SM"/>
    <s v="Anejo 27. Estudio Previo Seguridad"/>
    <s v="Anejo 27. Estudio Previo Seguridad"/>
    <s v="Apéndice 1 REP"/>
    <x v="0"/>
    <s v="Hallazgo"/>
    <n v="4"/>
    <s v="En el peligro ID6 referente a drenajes se indica como evidencia el Anejo 11 Instalaciones Ferroviarias y planos 8.1 y 8.2 (electrificación). Se solicita revisar evidencias e indicar la evidencia correcta."/>
    <s v="Cerrado"/>
    <x v="0"/>
  </r>
  <r>
    <m/>
    <m/>
    <m/>
    <m/>
    <m/>
    <x v="1"/>
    <s v="Respuesta UTE (02/02/2025)"/>
    <m/>
    <s v="Se actualiza evidencia"/>
    <s v="Cerrado"/>
    <x v="1"/>
  </r>
  <r>
    <m/>
    <m/>
    <m/>
    <m/>
    <m/>
    <x v="1"/>
    <s v="Respuesta Exceltic (25/02/2026)"/>
    <m/>
    <s v="Se observan los cambios y se da por cerrado el hallazgo"/>
    <s v="Cerrado"/>
    <x v="1"/>
  </r>
  <r>
    <n v="7"/>
    <s v="MRG_x000a_SM"/>
    <s v="Anejo 27. Estudio Previo Seguridad"/>
    <s v="Anejo 27. Estudio Previo Seguridad"/>
    <s v="Apéndice 1 REP"/>
    <x v="3"/>
    <s v="Hallazgo"/>
    <n v="4"/>
    <s v="Error de formato en peligros 7 y 8 (página 21) donde se mezclan las medidas de mitigación y requisitos de seguridad de ambos peligros. Se solicita corregir."/>
    <s v="Cerrado"/>
    <x v="0"/>
  </r>
  <r>
    <m/>
    <m/>
    <m/>
    <m/>
    <m/>
    <x v="1"/>
    <s v="Respuesta UTE (02/02/2025)"/>
    <m/>
    <s v="Se corrige el formato. Además, , las actuaciones en vía se limitan al apeo durante la ejecución del paso inferior, no hay sustitución de carril, traviesa ni balasto, ni en soldaduras consecuentemente. El peligro es que se hunda el apeo, por lo tanto, se redefine el peligro ID.7"/>
    <s v="Cerrado"/>
    <x v="1"/>
  </r>
  <r>
    <m/>
    <m/>
    <m/>
    <m/>
    <m/>
    <x v="1"/>
    <s v="Respuesta Exceltic (25/02/2026)"/>
    <m/>
    <s v="Se observa que se ha redefinido el peligro ID.7. En cuanto al apeo, se solicita aclarar/incluir:_x000a__x000a_1. Se observan que no aparecen los cálculos relativos al apeo de vía en el Anejo 8 Estructuras, unicamente del cajon hincado, confirmar si los cálculos del sistema de apeo se realizaran en ejecución quedando fuera del alcance del presente PC._x000a__x000a_2. Se solicita aclarar/confirmar si está prevista la aportación de balasto tras los trabajos de apeo e hinca, ya que no se observan peligros relacionados con el aporte de balasto."/>
    <s v="Cerrado"/>
    <x v="1"/>
  </r>
  <r>
    <m/>
    <m/>
    <m/>
    <m/>
    <m/>
    <x v="1"/>
    <s v="Respuesta UTE (26/02/2026)"/>
    <m/>
    <s v="1. Los cálculos del sistema de apeo quedan fuera del alcance del proyecto. El sistema de apeo es un sistema que se realiza a través de una empresa especializada (como por ejemplo Opema o Petruco)  en fase de ejecución y, por tanto, los cálculos tambien son alcance de esta fase de ejecución. _x000a_2. No está prevista la aportación de balasto tras los trabajos de apeo e hinca por ese motivo no hay un peligro asociado. "/>
    <s v="Cerrado"/>
    <x v="1"/>
  </r>
  <r>
    <m/>
    <m/>
    <m/>
    <m/>
    <m/>
    <x v="1"/>
    <s v="Respuesta Exceltic (03/03/2026)"/>
    <m/>
    <s v="Se comprueba que se ha incluido en el Anejo 08, que el sistema se apeo es un sistema que se realiza a través de una empresa especializada (como por ejemplo Opema o Petruco)  en fase de ejecución._x000a_Se aceptan las aclaraciones y se da por cerrado el hallazgo."/>
    <s v="Cerrado"/>
    <x v="1"/>
  </r>
  <r>
    <n v="8"/>
    <s v="MRG_x000a_SM"/>
    <s v="Anejo 27. Estudio Previo Seguridad"/>
    <s v="Anejo 27. Estudio Previo Seguridad"/>
    <s v="Apéndice 1 REP"/>
    <x v="0"/>
    <s v="Hallazgo"/>
    <n v="4"/>
    <s v="Peligro ID7 se indican como evidencia Anejo 10 Instalaciones Ferroviarias (apartado 3 Electrificación) y planos 8.1 y 8.2, no pareciendo tener relación con el peligro (neutralización de tensiones). Revisar evidencias."/>
    <s v="Cerrado"/>
    <x v="0"/>
  </r>
  <r>
    <m/>
    <m/>
    <m/>
    <m/>
    <m/>
    <x v="1"/>
    <s v="Respuesta UTE (02/02/2025)"/>
    <m/>
    <s v="Se actualiza las evidencias al redefinir el peligro (tal y como se expone en el hallazgo anterior) "/>
    <s v="Cerrado"/>
    <x v="1"/>
  </r>
  <r>
    <m/>
    <m/>
    <m/>
    <m/>
    <m/>
    <x v="1"/>
    <s v="Respuesta Exceltic (25/02/2026)"/>
    <m/>
    <s v="Se observan los cambios y se da por cerrado el hallazgo"/>
    <s v="Cerrado"/>
    <x v="1"/>
  </r>
  <r>
    <n v="9"/>
    <s v="MRG_x000a_SM"/>
    <s v="Anejo 27. Estudio Previo Seguridad"/>
    <s v="Anejo 27. Estudio Previo Seguridad"/>
    <s v="Apéndice 1 REP"/>
    <x v="0"/>
    <s v="Hallazgo"/>
    <n v="4"/>
    <s v="De forma general, se incluye como evidencia los planos 8.1 y 8.2 en la mayoria de peligros, siendo estos planos referentes a electrificación. Revisar las evidencias de los peligros de forma general."/>
    <s v="Cerrado"/>
    <x v="0"/>
  </r>
  <r>
    <m/>
    <m/>
    <m/>
    <m/>
    <m/>
    <x v="1"/>
    <s v="Respuesta UTE (02/02/2025)"/>
    <m/>
    <s v="Se revisan y se corrigen en aquellos que no son de aplicación "/>
    <s v="Cerrado"/>
    <x v="1"/>
  </r>
  <r>
    <m/>
    <m/>
    <m/>
    <m/>
    <m/>
    <x v="1"/>
    <s v="Respuesta Exceltic (25/02/2026)"/>
    <m/>
    <s v="Se observa que siguen apareciendo los planos 8.1 y 8.2 en peligros en los que no parece ser de aplicación. Por ejemplo, en el pelido ID 10 relativo a la normativa de accesibilidad se indican como evidencia los planos 8.1 y 8.2 relativos a instalaciones de seguridad y señalización. Se solicita revisar e indicar las evidencias adecuadas."/>
    <s v="Cerrado"/>
    <x v="1"/>
  </r>
  <r>
    <m/>
    <m/>
    <m/>
    <m/>
    <m/>
    <x v="1"/>
    <s v="Respuesta UTE (26/02/2026)"/>
    <m/>
    <s v="Se actualiza la evidencia (Anejo 21. Accesibilidad; Planos 5.1, 5.2 y 5.5)"/>
    <m/>
    <x v="1"/>
  </r>
  <r>
    <m/>
    <m/>
    <m/>
    <m/>
    <m/>
    <x v="1"/>
    <s v="Respuesta Exceltic (03/03/2026)"/>
    <m/>
    <s v="Se comprueba y se da por cerrado el hallazgo."/>
    <m/>
    <x v="1"/>
  </r>
  <r>
    <n v="10"/>
    <s v="MRG_x000a_SM"/>
    <s v="Anejo 27. Estudio Previo Seguridad"/>
    <s v="Anejo 27. Estudio Previo Seguridad"/>
    <s v="Apéndice 1 REP"/>
    <x v="0"/>
    <s v="Hallazgo"/>
    <n v="4"/>
    <s v="Peligro ID12 no parece tener relación el peligro con la evidencia al no mencionarse los andenes en la evidencia &quot;Anejo nº 10 Instalaciones ferroviárias apartado 3 y 4&quot;. Se solicita revisar."/>
    <s v="Cerrado"/>
    <x v="0"/>
  </r>
  <r>
    <m/>
    <m/>
    <m/>
    <m/>
    <m/>
    <x v="1"/>
    <s v="Respuesta UTE (02/02/2025)"/>
    <m/>
    <s v="Se actualiza las evidencias, considerando el Anejo 8. Cálculo de estructura y Anejo 21. Accesibilidad. "/>
    <s v="Cerrado"/>
    <x v="1"/>
  </r>
  <r>
    <m/>
    <m/>
    <m/>
    <m/>
    <m/>
    <x v="1"/>
    <s v="Respuesta Exceltic (25/02/2026)"/>
    <m/>
    <s v="Se observan los cambios y se da por cerrado el hallazgo"/>
    <s v="Cerrado"/>
    <x v="1"/>
  </r>
  <r>
    <n v="11"/>
    <s v="MRG_x000a_SM"/>
    <s v="Anejo 27. Estudio Previo Seguridad"/>
    <s v="Anejo 27. Estudio Previo Seguridad"/>
    <s v="Apéndice 1 REP"/>
    <x v="3"/>
    <s v="Hallazgo"/>
    <n v="4"/>
    <s v="Peligro ID13 se indica como evidencia &quot;Anejo 9. Instalaciones no ferroviarias, apartado 4&quot; no siendo correcta la numeración de los anejos. Se solicita revisar."/>
    <s v="Cerrado"/>
    <x v="0"/>
  </r>
  <r>
    <m/>
    <m/>
    <m/>
    <m/>
    <m/>
    <x v="1"/>
    <s v="Respuesta UTE (02/02/2025)"/>
    <m/>
    <s v="No se comprende el comentarario, ya que el anejo 9, apartado 4 se refiere a la iluminación, que es de lo que trata el peligro"/>
    <s v="Cerrado"/>
    <x v="1"/>
  </r>
  <r>
    <m/>
    <m/>
    <m/>
    <m/>
    <m/>
    <x v="1"/>
    <s v="Respuesta Exceltic (25/02/2026)"/>
    <m/>
    <s v="Se observa que está indicado correctamente y se cierra el hallazgo."/>
    <s v="Cerrado"/>
    <x v="1"/>
  </r>
  <r>
    <n v="12"/>
    <s v="MRG_x000a_SM"/>
    <s v="Anejo 27. Estudio Previo Seguridad"/>
    <s v="Anejo 27. Estudio Previo Seguridad"/>
    <s v="Apéndice 1 REP"/>
    <x v="3"/>
    <s v="Hallazgo"/>
    <n v="4"/>
    <s v="Revisar el subsistema afectado en cada peligro: ID16 no se trata de infraestructura, sino de interfaces con energía. Peligro 14 no coincide subsistema indicado (infraestructura) con elemento (Anclajes Postes de_x000a_catenaria (Fijación)), peligro 22 (interfaces entre infraestructura y energía)"/>
    <s v="Cerrado"/>
    <x v="0"/>
  </r>
  <r>
    <m/>
    <m/>
    <m/>
    <m/>
    <m/>
    <x v="1"/>
    <s v="Respuesta UTE (02/02/2025)"/>
    <m/>
    <s v="Se actualiza el ID.16 e ID.22  considerando que es de aplicación a la interfaz infraestructura-energía.En relación con el ID14, se cancela dado que el proyecto sólo incluye la instalación de protecciones antiescalada en los postes existentes, no se toca ni se sustituye ningún poste ni sus anclajes. "/>
    <s v="Cerrado"/>
    <x v="1"/>
  </r>
  <r>
    <m/>
    <m/>
    <m/>
    <m/>
    <m/>
    <x v="1"/>
    <s v="Respuesta Exceltic (25/02/2026)"/>
    <m/>
    <s v="Se observan los cambios. Se indica que no se susituyen ni instalan postes, unicamente las protecciones antiescalada en los postes existentes. Se cierra el hallazgo."/>
    <s v="Cerrado"/>
    <x v="1"/>
  </r>
  <r>
    <n v="13"/>
    <s v="SM"/>
    <s v="Anejo 27. Estudio Previo Seguridad"/>
    <s v="Anejo 27. Estudio Previo Seguridad"/>
    <s v="Apéndice 1 REP"/>
    <x v="3"/>
    <s v="Hallazgo"/>
    <n v="4"/>
    <s v="En peligro 23 se indica como evidencia &quot;Anejo 11. Instalaciones ferroviarias,_x000a_apartado 3 y 4&quot; no siendo correcta la numeración del anejo. Se solicita corregir"/>
    <s v="Cerrado"/>
    <x v="0"/>
  </r>
  <r>
    <m/>
    <m/>
    <m/>
    <m/>
    <m/>
    <x v="1"/>
    <s v="Respuesta UTE (02/02/2025)"/>
    <m/>
    <s v="Se cambia el número del anejo por el Anejo 10. Instalaciones ferroviarias."/>
    <s v="Cerrado"/>
    <x v="1"/>
  </r>
  <r>
    <m/>
    <m/>
    <m/>
    <m/>
    <m/>
    <x v="1"/>
    <s v="Respuesta Exceltic (25/02/2026)"/>
    <m/>
    <s v="Se observan los cambios y se da por cerrado el hallazgo"/>
    <s v="Cerrado"/>
    <x v="1"/>
  </r>
  <r>
    <n v="14"/>
    <s v="SM"/>
    <s v="Anejo 27. Estudio Previo Seguridad"/>
    <s v="Anejo 27. Estudio Previo Seguridad"/>
    <s v="Apéndice 1 REP"/>
    <x v="3"/>
    <s v="Hallazgo"/>
    <n v="4"/>
    <s v="Se encuentra normativa derogada como código práctico (NAP 1-2-4.0 Geología, Geotecnia y Estudio de materiales 1ª jul.-15, NAP 1-2-1.0 Metodología para el diseño del Trazado ferroviario 1ª ene.-21, etc). Se solicita revisar y corregir."/>
    <s v="Cerrado"/>
    <x v="0"/>
  </r>
  <r>
    <m/>
    <m/>
    <m/>
    <m/>
    <m/>
    <x v="1"/>
    <s v="Respuesta UTE (02/02/2025)"/>
    <m/>
    <s v="Se actualizan las normativa derogada del documento "/>
    <s v="Cerrado"/>
    <x v="1"/>
  </r>
  <r>
    <m/>
    <m/>
    <m/>
    <m/>
    <m/>
    <x v="1"/>
    <s v="Respuesta Exceltic (25/02/2026)"/>
    <m/>
    <s v="Se observan los cambios y se da por cerrado el hallazgo"/>
    <s v="Cerrado"/>
    <x v="1"/>
  </r>
  <r>
    <n v="15"/>
    <s v="MRG _x000a_SM"/>
    <s v="Anejo 27. Estudio Previo Seguridad"/>
    <s v="Anejo 27. Estudio Previo Seguridad"/>
    <s v="Apéndice 1 REP"/>
    <x v="3"/>
    <s v="Hallazgo"/>
    <n v="6"/>
    <s v="Se observa que en el Anejo Estudio Previo de Seguridad no se ha incluido la Hoja Complementaria del REP completa. Se solicita corregir/añadir."/>
    <s v="Cerrado"/>
    <x v="0"/>
  </r>
  <r>
    <m/>
    <m/>
    <m/>
    <m/>
    <m/>
    <x v="1"/>
    <s v="Respuesta UTE (26/02/2026)"/>
    <m/>
    <s v="Se incluye la Hoja Complementaria completa del Registro Específico de Peligros (REP) en el Anejo de Estudio Previo de Seguridad (EPS)."/>
    <s v="Cerrado"/>
    <x v="1"/>
  </r>
  <r>
    <m/>
    <m/>
    <m/>
    <m/>
    <m/>
    <x v="1"/>
    <s v="Respuesta Exceltic (03/03/2026)"/>
    <m/>
    <s v="Se comprueba y se da por cerrado el hallazgo."/>
    <s v="Cerrado"/>
    <x v="1"/>
  </r>
  <r>
    <n v="16"/>
    <s v="MRG _x000a_SM"/>
    <s v="Anejo 27. Estudio Previo Seguridad"/>
    <s v="Anejo 27. Estudio Previo Seguridad"/>
    <s v="6.3 Interfaces"/>
    <x v="4"/>
    <s v="Hallazgo"/>
    <n v="6"/>
    <s v="En el apartado 6.3 Interfaces se observa que la numeración de las interfaces indicadas en los párrafos no coincide con la numeración de las interfaces indicadas en la tabla (por ejemplo, interfaz 9). También se observa una errata en el título del apartado al indicar tanto interfaces como fronteras del sistema, cuando solo hace referencia a interfaces. Se solicita corregir."/>
    <s v="Cerrado"/>
    <x v="0"/>
  </r>
  <r>
    <m/>
    <m/>
    <m/>
    <m/>
    <m/>
    <x v="1"/>
    <s v="Respuesta UTE (26/02/2026)"/>
    <m/>
    <s v="Se actualiza el apartado 6.3 Interfaces, corrigiendo la numeración de las interfaces para que coincida entre los párrafos y la tabla (incluida la interfaz 9), así como la errata en el título del apartado, que pasa a referirse únicamente a interfaces."/>
    <s v="Cerrado"/>
    <x v="1"/>
  </r>
  <r>
    <m/>
    <m/>
    <m/>
    <m/>
    <m/>
    <x v="1"/>
    <s v="Respuesta Exceltic (03/03/2026)"/>
    <m/>
    <s v="Se comprueba y se da por cerrado el hallazgo."/>
    <s v="Cerrado"/>
    <x v="1"/>
  </r>
  <r>
    <n v="17"/>
    <s v="MRG _x000a_SM"/>
    <s v="Anejo 27. Estudio Previo Seguridad"/>
    <s v="Anejo 27. Estudio Previo Seguridad"/>
    <s v="6.3 Interfaces"/>
    <x v="4"/>
    <s v="Hallazgo"/>
    <n v="6"/>
    <s v="No se ha recibido el resto de documentos que forman parte del PC actualizados por lo que se entiende que no han variado y que no tienen cambios respecto a la última versión facilitada. Se solicita confirmación._x000a__x000a_Sin embargo, en la última Memoria facilitada, en el apartado 5.3 Justificación de la seguridad del diseño del proyecto, no coincide la tabla resumen de peligros identificados/cancelados con la situación real y actual del REP. Se solicita aclarar/corregir."/>
    <s v="Cerrado"/>
    <x v="0"/>
  </r>
  <r>
    <m/>
    <m/>
    <m/>
    <m/>
    <m/>
    <x v="1"/>
    <s v="Respuesta UTE (26/02/2026)"/>
    <m/>
    <s v="Se facilita la correccion del EPS, junto con la última maqueta del proyecto._x000a_Además, se actualiza el apartado 5.3 de la Memoria del proyecto actualizando la información en conformidad con el estado de los peligros recogidos en el REP recogido en la última versión del EPS."/>
    <s v="Cerrado"/>
    <x v="1"/>
  </r>
  <r>
    <m/>
    <m/>
    <m/>
    <m/>
    <m/>
    <x v="1"/>
    <s v="Respuesta Exceltic (03/03/2026)"/>
    <m/>
    <s v="Se comprueba la actualización y se da por cerrado el hallazgo."/>
    <s v="Cerrado"/>
    <x v="1"/>
  </r>
  <r>
    <n v="18"/>
    <s v="MRG _x000a_SM"/>
    <s v="Anejo 27. Estudio Previo Seguridad"/>
    <s v="Anejo 27. Estudio Previo Seguridad"/>
    <s v="7. IMPACTO POTENCIAL DE LAS ACTUACIONES PROYECTADAS: ANÁLISIS DEL RIESGO"/>
    <x v="3"/>
    <s v="Hallazgo"/>
    <n v="7"/>
    <s v="En el apartado 7 se indica la siguiente frase &quot;En el REP (Apéndice 1) se han consignado y recopilado todos los peligros identificados. Se han identificado un total de veintinueve (29) peligros.&quot; Pero en el REP hay 30 amenazas identificadas. Se solicita corregir._x000a__x000a_Se solicita actualizar el Apéndice 1 en el Anejo 27 Estudio Previo de Seguridad conforme la ulrtima versión del REP recibida."/>
    <s v="Cerrado"/>
    <x v="0"/>
  </r>
  <r>
    <m/>
    <m/>
    <m/>
    <m/>
    <m/>
    <x v="1"/>
    <s v="Respuesta UTE (06/03/2026)"/>
    <m/>
    <s v="Se ha corregido el texto del apartado 7 para reflejar correctamente el número total de peligros identificados. Asimismo, se ha actualizado el Apéndice 1 del Anejo 27 – Estudio Previo de Seguridad, incorporando la última versión del Registro de Peligros (REP)."/>
    <s v="Cerrado"/>
    <x v="1"/>
  </r>
  <r>
    <m/>
    <m/>
    <m/>
    <m/>
    <m/>
    <x v="1"/>
    <s v="Respuesta Exceltic (07/03/2026)"/>
    <m/>
    <s v="Se observan los cambios y se recibe el documento corregido, dando por cerrado el hallazgo."/>
    <s v="Cerrado"/>
    <x v="1"/>
  </r>
  <r>
    <m/>
    <m/>
    <m/>
    <m/>
    <m/>
    <x v="1"/>
    <m/>
    <m/>
    <m/>
    <m/>
    <x v="1"/>
  </r>
  <r>
    <m/>
    <m/>
    <m/>
    <m/>
    <m/>
    <x v="1"/>
    <m/>
    <m/>
    <m/>
    <m/>
    <x v="1"/>
  </r>
  <r>
    <m/>
    <m/>
    <m/>
    <m/>
    <m/>
    <x v="1"/>
    <m/>
    <m/>
    <m/>
    <m/>
    <x v="1"/>
  </r>
  <r>
    <m/>
    <m/>
    <m/>
    <m/>
    <m/>
    <x v="1"/>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1CD1DE-8645-4104-80EE-D504D6C3763F}" name="TablaDinámica5" cacheId="5"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 colHeaderCaption="Número">
  <location ref="B3:D9" firstHeaderRow="1" firstDataRow="2" firstDataCol="1"/>
  <pivotFields count="11">
    <pivotField showAll="0"/>
    <pivotField showAll="0"/>
    <pivotField showAll="0"/>
    <pivotField showAll="0"/>
    <pivotField showAll="0"/>
    <pivotField axis="axisRow" dataField="1" showAll="0" nonAutoSortDefault="1">
      <items count="6">
        <item x="0"/>
        <item x="3"/>
        <item x="2"/>
        <item x="4"/>
        <item h="1" x="1"/>
        <item t="default"/>
      </items>
    </pivotField>
    <pivotField showAll="0"/>
    <pivotField showAll="0"/>
    <pivotField showAll="0"/>
    <pivotField showAll="0"/>
    <pivotField axis="axisCol" multipleItemSelectionAllowed="1" showAll="0" sortType="ascending">
      <items count="5">
        <item m="1" x="2"/>
        <item x="0"/>
        <item m="1" x="3"/>
        <item h="1" x="1"/>
        <item t="default"/>
      </items>
    </pivotField>
  </pivotFields>
  <rowFields count="1">
    <field x="5"/>
  </rowFields>
  <rowItems count="5">
    <i>
      <x/>
    </i>
    <i>
      <x v="1"/>
    </i>
    <i>
      <x v="2"/>
    </i>
    <i>
      <x v="3"/>
    </i>
    <i t="grand">
      <x/>
    </i>
  </rowItems>
  <colFields count="1">
    <field x="10"/>
  </colFields>
  <colItems count="2">
    <i>
      <x v="1"/>
    </i>
    <i t="grand">
      <x/>
    </i>
  </colItems>
  <dataFields count="1">
    <dataField name="Cuenta de Valoración" fld="5" subtotal="count" baseField="0" baseItem="0"/>
  </dataFields>
  <formats count="10">
    <format dxfId="26">
      <pivotArea dataOnly="0" fieldPosition="0">
        <references count="1">
          <reference field="10" count="0"/>
        </references>
      </pivotArea>
    </format>
    <format dxfId="25">
      <pivotArea outline="0" collapsedLevelsAreSubtotals="1" fieldPosition="0">
        <references count="1">
          <reference field="5" count="4" selected="0">
            <x v="0"/>
            <x v="1"/>
            <x v="2"/>
            <x v="3"/>
          </reference>
        </references>
      </pivotArea>
    </format>
    <format dxfId="24">
      <pivotArea dataOnly="0" labelOnly="1" fieldPosition="0">
        <references count="1">
          <reference field="5" count="4">
            <x v="0"/>
            <x v="1"/>
            <x v="2"/>
            <x v="3"/>
          </reference>
        </references>
      </pivotArea>
    </format>
    <format dxfId="23">
      <pivotArea grandCol="1" outline="0" collapsedLevelsAreSubtotals="1" fieldPosition="0"/>
    </format>
    <format dxfId="22">
      <pivotArea dataOnly="0" labelOnly="1" grandCol="1" outline="0" fieldPosition="0"/>
    </format>
    <format dxfId="21">
      <pivotArea grandCol="1" outline="0" collapsedLevelsAreSubtotals="1" fieldPosition="0"/>
    </format>
    <format dxfId="20">
      <pivotArea dataOnly="0" labelOnly="1" grandCol="1" outline="0" fieldPosition="0"/>
    </format>
    <format dxfId="19">
      <pivotArea outline="0" collapsedLevelsAreSubtotals="1" fieldPosition="0"/>
    </format>
    <format dxfId="18">
      <pivotArea dataOnly="0" labelOnly="1" fieldPosition="0">
        <references count="1">
          <reference field="10" count="0"/>
        </references>
      </pivotArea>
    </format>
    <format dxfId="17">
      <pivotArea dataOnly="0" labelOnly="1" grandCol="1" outline="0" fieldPosition="0"/>
    </format>
  </formats>
  <chartFormats count="8">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3"/>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1"/>
          </reference>
        </references>
      </pivotArea>
    </chartFormat>
    <chartFormat chart="0" format="4" series="1">
      <pivotArea type="data" outline="0" fieldPosition="0">
        <references count="2">
          <reference field="4294967294" count="1" selected="0">
            <x v="0"/>
          </reference>
          <reference field="10" count="1" selected="0">
            <x v="0"/>
          </reference>
        </references>
      </pivotArea>
    </chartFormat>
    <chartFormat chart="0" format="5" series="1">
      <pivotArea type="data" outline="0" fieldPosition="0">
        <references count="2">
          <reference field="4294967294" count="1" selected="0">
            <x v="0"/>
          </reference>
          <reference field="10" count="1" selected="0">
            <x v="1"/>
          </reference>
        </references>
      </pivotArea>
    </chartFormat>
    <chartFormat chart="0" format="6" series="1">
      <pivotArea type="data" outline="0" fieldPosition="0">
        <references count="2">
          <reference field="4294967294" count="1" selected="0">
            <x v="0"/>
          </reference>
          <reference field="10" count="1" selected="0">
            <x v="2"/>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Hoja1">
    <outlinePr summaryBelow="1" summaryRight="1"/>
    <pageSetUpPr fitToPage="1"/>
  </sheetPr>
  <dimension ref="B12:K37"/>
  <sheetViews>
    <sheetView view="pageBreakPreview" topLeftCell="A13" zoomScaleNormal="100" zoomScaleSheetLayoutView="100" workbookViewId="0">
      <selection activeCell="B30" sqref="B30"/>
    </sheetView>
  </sheetViews>
  <sheetFormatPr baseColWidth="10" defaultColWidth="9.1796875" defaultRowHeight="14.5"/>
  <cols>
    <col width="7.54296875" customWidth="1" min="1" max="1"/>
    <col width="26.7265625" customWidth="1" min="2" max="3"/>
    <col width="19.453125" customWidth="1" min="5" max="5"/>
    <col width="16.453125" customWidth="1" min="8" max="8"/>
  </cols>
  <sheetData>
    <row r="12">
      <c r="B12" s="79" t="inlineStr">
        <is>
          <t>PROYECTO DE CONSTRUCCIÓN DE NUEVO CRUCE A DISTINTO NIVEL ENTRE ANDENES EN LA ESTACIÓN DE POSADAS (CÓRDOBA)</t>
        </is>
      </c>
    </row>
    <row r="13" ht="61.5" customHeight="1"/>
    <row r="14">
      <c r="B14" s="80" t="inlineStr">
        <is>
          <t>Listado de Puntos Abiertos (LPA)</t>
        </is>
      </c>
    </row>
    <row r="15"/>
    <row r="16">
      <c r="B16" s="80" t="inlineStr">
        <is>
          <t>EXC2025-16126-1/002/LPA/05</t>
        </is>
      </c>
    </row>
    <row r="17"/>
    <row r="18">
      <c r="B18" s="4" t="n"/>
      <c r="C18" s="4" t="n"/>
      <c r="D18" s="4" t="n"/>
      <c r="E18" s="4" t="n"/>
      <c r="F18" s="4" t="n"/>
      <c r="G18" s="4" t="n"/>
      <c r="H18" s="4" t="n"/>
    </row>
    <row r="19">
      <c r="B19" s="71" t="inlineStr">
        <is>
          <t>Normativa de Evaluación</t>
        </is>
      </c>
      <c r="C19" s="102" t="n"/>
      <c r="D19" s="102" t="n"/>
      <c r="E19" s="102" t="n"/>
      <c r="F19" s="102" t="n"/>
      <c r="G19" s="102" t="n"/>
      <c r="H19" s="103" t="n"/>
    </row>
    <row r="20">
      <c r="B20" s="78" t="inlineStr">
        <is>
          <t>Anexo I del Reglamento de Ejecución UE/402/2013 (modificado por UE/2015/1136)</t>
        </is>
      </c>
      <c r="C20" s="104" t="n"/>
      <c r="D20" s="104" t="n"/>
      <c r="E20" s="104" t="n"/>
      <c r="F20" s="104" t="n"/>
      <c r="G20" s="104" t="n"/>
      <c r="H20" s="105" t="n"/>
      <c r="I20" s="2" t="n"/>
      <c r="J20" s="2" t="n"/>
      <c r="K20" s="2" t="n"/>
    </row>
    <row r="21">
      <c r="B21" s="78" t="n"/>
      <c r="C21" s="104" t="n"/>
      <c r="D21" s="104" t="n"/>
      <c r="E21" s="104" t="n"/>
      <c r="F21" s="104" t="n"/>
      <c r="G21" s="104" t="n"/>
      <c r="H21" s="105" t="n"/>
    </row>
    <row r="22">
      <c r="B22" s="78" t="n"/>
      <c r="C22" s="104" t="n"/>
      <c r="D22" s="104" t="n"/>
      <c r="E22" s="104" t="n"/>
      <c r="F22" s="104" t="n"/>
      <c r="G22" s="104" t="n"/>
      <c r="H22" s="105" t="n"/>
    </row>
    <row r="23">
      <c r="B23" s="78" t="n"/>
      <c r="C23" s="104" t="n"/>
      <c r="D23" s="104" t="n"/>
      <c r="E23" s="104" t="n"/>
      <c r="F23" s="104" t="n"/>
      <c r="G23" s="104" t="n"/>
      <c r="H23" s="105" t="n"/>
    </row>
    <row r="24">
      <c r="B24" s="4" t="n"/>
      <c r="C24" s="4" t="n"/>
      <c r="D24" s="4" t="n"/>
      <c r="E24" s="4" t="n"/>
      <c r="F24" s="4" t="n"/>
      <c r="G24" s="4" t="n"/>
      <c r="H24" s="4" t="n"/>
    </row>
    <row r="25">
      <c r="B25" s="71" t="inlineStr">
        <is>
          <t>Evaluadores</t>
        </is>
      </c>
      <c r="C25" s="102" t="n"/>
      <c r="D25" s="102" t="n"/>
      <c r="E25" s="102" t="n"/>
      <c r="F25" s="102" t="n"/>
      <c r="G25" s="103" t="n"/>
      <c r="H25" s="2" t="n"/>
    </row>
    <row r="26">
      <c r="B26" s="72" t="inlineStr">
        <is>
          <t>Miriam Romera (MRG)</t>
        </is>
      </c>
      <c r="C26" s="72" t="inlineStr">
        <is>
          <t>Soukaina Meliani (SM)</t>
        </is>
      </c>
      <c r="D26" s="105" t="n"/>
      <c r="E26" s="72" t="inlineStr">
        <is>
          <t>Roberto Abad (RAM)</t>
        </is>
      </c>
      <c r="F26" s="104" t="n"/>
      <c r="G26" s="105" t="n"/>
    </row>
    <row r="27">
      <c r="B27" s="48" t="inlineStr">
        <is>
          <t>Evaluador técnico (supervisada)</t>
        </is>
      </c>
      <c r="C27" s="48" t="inlineStr">
        <is>
          <t>Evaluador técnico</t>
        </is>
      </c>
      <c r="D27" s="105" t="n"/>
      <c r="E27" s="73" t="inlineStr">
        <is>
          <t>Responsable de Evaluación</t>
        </is>
      </c>
      <c r="F27" s="104" t="n"/>
      <c r="G27" s="105" t="n"/>
    </row>
    <row r="31">
      <c r="B31" s="38" t="n"/>
      <c r="C31" s="38" t="n"/>
      <c r="D31" s="45" t="n"/>
      <c r="E31" s="45" t="n"/>
      <c r="F31" s="45" t="n"/>
      <c r="G31" s="45" t="n"/>
      <c r="H31" s="45" t="n"/>
    </row>
    <row r="32">
      <c r="B32" s="39" t="n"/>
      <c r="C32" s="39" t="n"/>
      <c r="D32" s="46" t="n"/>
      <c r="E32" s="46" t="n"/>
      <c r="F32" s="46" t="n"/>
      <c r="G32" s="46" t="n"/>
      <c r="H32" s="46" t="n"/>
    </row>
    <row r="33">
      <c r="B33" s="41" t="n"/>
      <c r="C33" s="41" t="n"/>
      <c r="D33" s="46" t="n"/>
      <c r="E33" s="46" t="n"/>
      <c r="F33" s="42" t="n"/>
      <c r="G33" s="42" t="n"/>
      <c r="H33" s="42" t="n"/>
    </row>
    <row r="34">
      <c r="B34" s="42" t="n"/>
      <c r="C34" s="42" t="n"/>
      <c r="D34" s="46" t="n"/>
      <c r="E34" s="46" t="n"/>
      <c r="F34" s="42" t="n"/>
      <c r="G34" s="42" t="n"/>
      <c r="H34" s="42" t="n"/>
    </row>
    <row r="35">
      <c r="B35" s="42" t="n"/>
      <c r="C35" s="42" t="n"/>
      <c r="D35" s="46" t="n"/>
      <c r="E35" s="46" t="n"/>
      <c r="F35" s="42" t="n"/>
      <c r="G35" s="42" t="n"/>
      <c r="H35" s="42" t="n"/>
    </row>
    <row r="36">
      <c r="B36" s="42" t="n"/>
      <c r="C36" s="42" t="n"/>
      <c r="D36" s="46" t="n"/>
      <c r="E36" s="46" t="n"/>
      <c r="F36" s="42" t="n"/>
      <c r="G36" s="42" t="n"/>
      <c r="H36" s="42" t="n"/>
    </row>
    <row r="37" ht="29.25" customHeight="1">
      <c r="B37" s="40" t="n"/>
      <c r="C37" s="40" t="n"/>
      <c r="D37" s="43" t="n"/>
      <c r="E37" s="44" t="n"/>
      <c r="F37" s="47" t="n"/>
      <c r="G37" s="47" t="n"/>
      <c r="H37" s="47" t="n"/>
    </row>
  </sheetData>
  <mergeCells count="13">
    <mergeCell ref="B22:H22"/>
    <mergeCell ref="B14:H15"/>
    <mergeCell ref="E27:G27"/>
    <mergeCell ref="B19:H19"/>
    <mergeCell ref="B21:H21"/>
    <mergeCell ref="C27:D27"/>
    <mergeCell ref="B12:H13"/>
    <mergeCell ref="E26:G26"/>
    <mergeCell ref="B16:H17"/>
    <mergeCell ref="C26:D26"/>
    <mergeCell ref="B20:H20"/>
    <mergeCell ref="B25:G25"/>
    <mergeCell ref="B23:H23"/>
  </mergeCells>
  <pageMargins left="0.7" right="0.7" top="0.75" bottom="0.75" header="0.3" footer="0.3"/>
  <pageSetup paperSize="9" scale="65"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Hoja2">
    <outlinePr summaryBelow="1" summaryRight="1"/>
    <pageSetUpPr fitToPage="1"/>
  </sheetPr>
  <dimension ref="A2:C8"/>
  <sheetViews>
    <sheetView view="pageBreakPreview" zoomScaleNormal="100" zoomScaleSheetLayoutView="100" workbookViewId="0">
      <selection activeCell="C15" sqref="C15"/>
    </sheetView>
  </sheetViews>
  <sheetFormatPr baseColWidth="10" defaultColWidth="11.453125" defaultRowHeight="14.5"/>
  <cols>
    <col width="66.453125" customWidth="1" min="3" max="3"/>
  </cols>
  <sheetData>
    <row r="2">
      <c r="A2" s="84" t="inlineStr">
        <is>
          <t>Control de Versiones</t>
        </is>
      </c>
      <c r="B2" s="104" t="n"/>
      <c r="C2" s="105" t="n"/>
    </row>
    <row r="3">
      <c r="A3" s="5" t="inlineStr">
        <is>
          <t>Nº Rev.</t>
        </is>
      </c>
      <c r="B3" s="6" t="inlineStr">
        <is>
          <t>Fecha</t>
        </is>
      </c>
      <c r="C3" s="8" t="inlineStr">
        <is>
          <t>Descripción</t>
        </is>
      </c>
    </row>
    <row r="4" ht="39" customHeight="1">
      <c r="A4" s="7" t="n">
        <v>1</v>
      </c>
      <c r="B4" s="26" t="n">
        <v>46034</v>
      </c>
      <c r="C4" s="21" t="inlineStr">
        <is>
          <t>Primera versión de LPA que incluye la evaluación de los siguientes envíos
realizados por parte de UTE ESTEYCO-ARDANUY:
- Envío 01 (26/11/2025)</t>
        </is>
      </c>
    </row>
    <row r="5" ht="39" customHeight="1">
      <c r="A5" s="7" t="n">
        <v>2</v>
      </c>
      <c r="B5" s="26" t="n">
        <v>46078</v>
      </c>
      <c r="C5" s="21" t="inlineStr">
        <is>
          <t>Segunda versión de LPA que incluye la evaluación de los siguientes envíos:
- Envío 02 (16/02/2026)</t>
        </is>
      </c>
    </row>
    <row r="6" ht="65" customHeight="1">
      <c r="A6" s="31" t="n"/>
      <c r="B6" s="32" t="n"/>
      <c r="C6" s="33" t="n"/>
    </row>
    <row r="7" ht="65" customHeight="1">
      <c r="A7" s="31" t="n"/>
      <c r="B7" s="32" t="n"/>
      <c r="C7" s="33" t="n"/>
    </row>
    <row r="8" ht="52" customHeight="1">
      <c r="A8" s="29" t="n"/>
      <c r="B8" s="97" t="n"/>
      <c r="C8" s="98" t="n"/>
    </row>
  </sheetData>
  <mergeCells count="1">
    <mergeCell ref="A2:C2"/>
  </mergeCells>
  <pageMargins left="0.7" right="0.7" top="0.75" bottom="0.75" header="0.3" footer="0.3"/>
  <pageSetup paperSize="9" scale="98" fitToHeight="0" orientation="portrait" r:id="rId1"/>
  <headerFooter>
    <oddHeader>&amp;C&amp;"-,Negrita"&amp;16&amp;KFF6969CONTROL DE &amp;KFF7D31VERSIONES</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Hoja3">
    <outlinePr summaryBelow="1" summaryRight="1"/>
    <pageSetUpPr fitToPage="1"/>
  </sheetPr>
  <dimension ref="A1:J111"/>
  <sheetViews>
    <sheetView view="pageBreakPreview" topLeftCell="A46" zoomScaleNormal="100" zoomScaleSheetLayoutView="100" workbookViewId="0">
      <selection activeCell="A50" sqref="A50:A51"/>
    </sheetView>
  </sheetViews>
  <sheetFormatPr baseColWidth="10" defaultColWidth="11.453125" defaultRowHeight="14.5"/>
  <cols>
    <col width="52.1796875" customWidth="1" style="49" min="1" max="1"/>
    <col width="32.81640625" customWidth="1" style="49" min="2" max="2"/>
    <col width="12.81640625" customWidth="1" style="49" min="3" max="5"/>
    <col width="8.81640625" customWidth="1" style="49" min="6" max="6"/>
    <col width="11.54296875" customWidth="1" style="49" min="7" max="7"/>
    <col width="12.54296875" customWidth="1" style="49" min="8" max="8"/>
    <col width="11" bestFit="1" customWidth="1" style="49" min="9" max="9"/>
    <col width="48" customWidth="1" style="49" min="10" max="10"/>
    <col width="11.453125" customWidth="1" style="49" min="11" max="16384"/>
  </cols>
  <sheetData>
    <row r="1">
      <c r="A1" s="63" t="inlineStr">
        <is>
          <t>Observaciones LPA</t>
        </is>
      </c>
      <c r="B1" s="106" t="n"/>
      <c r="C1" s="106" t="n"/>
      <c r="D1" s="106" t="n"/>
      <c r="E1" s="106" t="n"/>
      <c r="F1" s="106" t="n"/>
      <c r="G1" s="106" t="n"/>
      <c r="H1" s="106" t="n"/>
      <c r="I1" s="106" t="n"/>
      <c r="J1" s="106" t="n"/>
    </row>
    <row r="2">
      <c r="A2" s="50" t="inlineStr">
        <is>
          <t>Nombre del documento</t>
        </is>
      </c>
      <c r="B2" s="50" t="inlineStr">
        <is>
          <t>Referencia</t>
        </is>
      </c>
      <c r="C2" s="50" t="inlineStr">
        <is>
          <t>Versión</t>
        </is>
      </c>
      <c r="D2" s="50" t="inlineStr">
        <is>
          <t>Fecha</t>
        </is>
      </c>
      <c r="E2" s="50" t="inlineStr">
        <is>
          <t>Autor</t>
        </is>
      </c>
      <c r="F2" s="50" t="inlineStr">
        <is>
          <t>Envío</t>
        </is>
      </c>
      <c r="G2" s="50" t="inlineStr">
        <is>
          <t>Fecha Envío</t>
        </is>
      </c>
      <c r="H2" s="50" t="inlineStr">
        <is>
          <t>Firmado (S/N)</t>
        </is>
      </c>
      <c r="I2" s="50" t="inlineStr">
        <is>
          <t>Estado</t>
        </is>
      </c>
      <c r="J2" s="50" t="inlineStr">
        <is>
          <t>Comentarios</t>
        </is>
      </c>
    </row>
    <row r="3">
      <c r="A3" s="86" t="inlineStr">
        <is>
          <t>Anejo 27. Estudio Previo Seguridad</t>
        </is>
      </c>
      <c r="B3" s="60" t="inlineStr">
        <is>
          <t>Anejo 27. Estudio Previo Seguridad</t>
        </is>
      </c>
      <c r="C3" s="20" t="n">
        <v>4</v>
      </c>
      <c r="D3" s="15" t="n">
        <v>45975</v>
      </c>
      <c r="E3" s="15" t="inlineStr">
        <is>
          <t>UTE</t>
        </is>
      </c>
      <c r="F3" s="85" t="n">
        <v>1</v>
      </c>
      <c r="G3" s="15" t="n">
        <v>45987</v>
      </c>
      <c r="H3" s="85" t="inlineStr">
        <is>
          <t>Si</t>
        </is>
      </c>
      <c r="I3" s="85" t="inlineStr">
        <is>
          <t>Cerrado</t>
        </is>
      </c>
      <c r="J3" s="107">
        <f>IF(I3="Abierto","Ver pestaña LPA con los hallazgos identificados","Versión formal sin hallazgos")</f>
        <v/>
      </c>
    </row>
    <row r="4" ht="29" customHeight="1">
      <c r="A4" s="108" t="n"/>
      <c r="B4" s="16" t="inlineStr">
        <is>
          <t>Anejo 27. Estudio Previo Seguridad_v06</t>
        </is>
      </c>
      <c r="C4" s="20" t="n">
        <v>6</v>
      </c>
      <c r="D4" s="15" t="n">
        <v>46056</v>
      </c>
      <c r="E4" s="15" t="inlineStr">
        <is>
          <t>UTE</t>
        </is>
      </c>
      <c r="F4" s="85" t="n">
        <v>2</v>
      </c>
      <c r="G4" s="15" t="n">
        <v>46069</v>
      </c>
      <c r="H4" s="108" t="n"/>
      <c r="I4" s="108" t="n"/>
      <c r="J4" s="108" t="n"/>
    </row>
    <row r="5">
      <c r="A5" s="86" t="inlineStr">
        <is>
          <t>Apéndice 1_REP 1</t>
        </is>
      </c>
      <c r="B5" s="60" t="inlineStr">
        <is>
          <t>Apéndice 1_REP 1_v06</t>
        </is>
      </c>
      <c r="C5" s="20" t="n">
        <v>6</v>
      </c>
      <c r="D5" s="15" t="n">
        <v>46056</v>
      </c>
      <c r="E5" s="15" t="inlineStr">
        <is>
          <t>UTE</t>
        </is>
      </c>
      <c r="F5" s="85" t="n">
        <v>2</v>
      </c>
      <c r="G5" s="15" t="n">
        <v>46069</v>
      </c>
      <c r="H5" s="85" t="inlineStr">
        <is>
          <t>NA</t>
        </is>
      </c>
      <c r="I5" s="85" t="inlineStr">
        <is>
          <t>Cerrado</t>
        </is>
      </c>
      <c r="J5" s="107">
        <f>IF(I5="Abierto","Ver pestaña LPA con los hallazgos identificados","Versión formal sin hallazgos")</f>
        <v/>
      </c>
    </row>
    <row r="6" ht="29" customHeight="1">
      <c r="A6" s="108" t="n"/>
      <c r="B6" s="16" t="inlineStr">
        <is>
          <t>Apéndice 1_REP 1_v07</t>
        </is>
      </c>
      <c r="C6" s="20" t="n">
        <v>7</v>
      </c>
      <c r="D6" s="15" t="n">
        <v>46079</v>
      </c>
      <c r="E6" s="15" t="inlineStr">
        <is>
          <t>UTE</t>
        </is>
      </c>
      <c r="F6" s="85" t="n">
        <v>3</v>
      </c>
      <c r="G6" s="15" t="n">
        <v>46083</v>
      </c>
      <c r="H6" s="108" t="n"/>
      <c r="I6" s="108" t="n"/>
      <c r="J6" s="108" t="n"/>
    </row>
    <row r="7">
      <c r="A7" s="86" t="inlineStr">
        <is>
          <t>Planos</t>
        </is>
      </c>
      <c r="B7" s="86" t="inlineStr">
        <is>
          <t>1.0 Índice</t>
        </is>
      </c>
      <c r="C7" s="20" t="inlineStr">
        <is>
          <t>NA</t>
        </is>
      </c>
      <c r="D7" s="15" t="n">
        <v>46054</v>
      </c>
      <c r="E7" s="15" t="inlineStr">
        <is>
          <t>UTE</t>
        </is>
      </c>
      <c r="F7" s="85" t="n">
        <v>3</v>
      </c>
      <c r="G7" s="15" t="n">
        <v>46083</v>
      </c>
      <c r="H7" s="85" t="inlineStr">
        <is>
          <t>NA</t>
        </is>
      </c>
      <c r="I7" s="85">
        <f>IF(COUNTIFS(LPA!J:J,"Abierto",LPA!C:C,B7)&gt;0,"Abierto","Cerrado")</f>
        <v/>
      </c>
      <c r="J7" s="107">
        <f>IF(I7="Abierto","Ver pestaña LPA con los hallazgos identificados","Versión formal sin hallazgos")</f>
        <v/>
      </c>
    </row>
    <row r="8" ht="29" customHeight="1">
      <c r="A8" s="109" t="n"/>
      <c r="B8" s="108" t="n"/>
      <c r="C8" s="20" t="inlineStr">
        <is>
          <t>NA</t>
        </is>
      </c>
      <c r="D8" s="15" t="n">
        <v>46143</v>
      </c>
      <c r="E8" s="15" t="inlineStr">
        <is>
          <t>UTE</t>
        </is>
      </c>
      <c r="F8" s="85" t="n">
        <v>7</v>
      </c>
      <c r="G8" s="15" t="n">
        <v>46175</v>
      </c>
      <c r="H8" s="108" t="n"/>
      <c r="I8" s="108" t="n"/>
      <c r="J8" s="108" t="n"/>
    </row>
    <row r="9">
      <c r="A9" s="108" t="n"/>
      <c r="B9" s="60" t="inlineStr">
        <is>
          <t>2.0 Situación y Emplazamiento</t>
        </is>
      </c>
      <c r="C9" s="20" t="inlineStr">
        <is>
          <t>NA</t>
        </is>
      </c>
      <c r="D9" s="15" t="n">
        <v>46054</v>
      </c>
      <c r="E9" s="15" t="inlineStr">
        <is>
          <t>UTE</t>
        </is>
      </c>
      <c r="F9" s="85" t="n">
        <v>3</v>
      </c>
      <c r="G9" s="15" t="n">
        <v>46083</v>
      </c>
      <c r="H9" s="85" t="inlineStr">
        <is>
          <t>NA</t>
        </is>
      </c>
      <c r="I9" s="85">
        <f>IF(COUNTIFS(LPA!J:J,"Abierto",LPA!C:C,B9)&gt;0,"Abierto","Cerrado")</f>
        <v/>
      </c>
      <c r="J9" s="107">
        <f>IF(I9="Abierto","Ver pestaña LPA con los hallazgos identificados","Versión formal sin hallazgos")</f>
        <v/>
      </c>
    </row>
    <row r="10">
      <c r="B10" s="99" t="n"/>
      <c r="C10" s="20" t="n"/>
      <c r="D10" s="15" t="n"/>
      <c r="E10" s="15" t="n"/>
      <c r="F10" s="85" t="n"/>
      <c r="G10" s="15" t="n"/>
    </row>
    <row r="11">
      <c r="B11" s="99" t="n"/>
      <c r="C11" s="20" t="n"/>
      <c r="D11" s="15" t="n"/>
      <c r="E11" s="15" t="n"/>
      <c r="F11" s="85" t="n"/>
      <c r="G11" s="15" t="n"/>
    </row>
    <row r="12">
      <c r="B12" s="99" t="n"/>
      <c r="C12" s="20" t="n"/>
      <c r="D12" s="15" t="n"/>
      <c r="E12" s="15" t="n"/>
      <c r="F12" s="85" t="n"/>
      <c r="G12" s="15" t="n"/>
    </row>
    <row r="13">
      <c r="B13" s="99" t="n"/>
      <c r="C13" s="20" t="n"/>
      <c r="D13" s="15" t="n"/>
      <c r="E13" s="15" t="n"/>
      <c r="F13" s="85" t="n"/>
      <c r="G13" s="15" t="n"/>
    </row>
    <row r="14">
      <c r="A14" s="86" t="n"/>
      <c r="B14" s="16" t="n"/>
      <c r="C14" s="20" t="n"/>
      <c r="D14" s="15" t="n"/>
      <c r="E14" s="15" t="n"/>
      <c r="F14" s="85" t="n"/>
      <c r="G14" s="15" t="n"/>
      <c r="H14" s="85" t="n"/>
      <c r="I14" s="85" t="n"/>
      <c r="J14" s="107" t="n"/>
    </row>
    <row r="15">
      <c r="C15" s="89" t="n"/>
      <c r="D15" s="90" t="n"/>
      <c r="E15" s="90" t="n"/>
      <c r="F15" s="91" t="n"/>
      <c r="G15" s="90" t="n"/>
    </row>
    <row r="16">
      <c r="B16" s="16" t="n"/>
      <c r="C16" s="20" t="n"/>
      <c r="D16" s="15" t="n"/>
      <c r="E16" s="15" t="n"/>
      <c r="F16" s="85" t="n"/>
      <c r="G16" s="15" t="n"/>
      <c r="H16" s="85" t="n"/>
      <c r="I16" s="85" t="n"/>
      <c r="J16" s="107" t="n"/>
    </row>
    <row r="17">
      <c r="C17" s="89" t="n"/>
      <c r="D17" s="90" t="n"/>
      <c r="E17" s="90" t="n"/>
      <c r="F17" s="91" t="n"/>
      <c r="G17" s="90" t="n"/>
    </row>
    <row r="18">
      <c r="B18" s="16" t="n"/>
      <c r="C18" s="20" t="n"/>
      <c r="D18" s="15" t="n"/>
      <c r="E18" s="15" t="n"/>
      <c r="F18" s="85" t="n"/>
      <c r="G18" s="15" t="n"/>
      <c r="H18" s="85" t="n"/>
      <c r="I18" s="85" t="n"/>
      <c r="J18" s="107" t="n"/>
    </row>
    <row r="19">
      <c r="C19" s="89" t="n"/>
      <c r="D19" s="90" t="n"/>
      <c r="E19" s="90" t="n"/>
      <c r="F19" s="91" t="n"/>
      <c r="G19" s="90" t="n"/>
    </row>
    <row r="20">
      <c r="B20" s="16" t="n"/>
      <c r="C20" s="20" t="n"/>
      <c r="D20" s="15" t="n"/>
      <c r="E20" s="15" t="n"/>
      <c r="F20" s="85" t="n"/>
      <c r="G20" s="15" t="n"/>
      <c r="H20" s="85" t="n"/>
      <c r="I20" s="85" t="n"/>
      <c r="J20" s="107" t="n"/>
    </row>
    <row r="21">
      <c r="C21" s="89" t="n"/>
      <c r="D21" s="90" t="n"/>
      <c r="E21" s="90" t="n"/>
      <c r="F21" s="91" t="n"/>
      <c r="G21" s="90" t="n"/>
    </row>
    <row r="22">
      <c r="B22" s="16" t="n"/>
      <c r="C22" s="20" t="n"/>
      <c r="D22" s="15" t="n"/>
      <c r="E22" s="15" t="n"/>
      <c r="F22" s="85" t="n"/>
      <c r="G22" s="15" t="n"/>
      <c r="H22" s="85" t="n"/>
      <c r="I22" s="85" t="n"/>
      <c r="J22" s="107" t="n"/>
    </row>
    <row r="23">
      <c r="C23" s="89" t="n"/>
      <c r="D23" s="90" t="n"/>
      <c r="E23" s="90" t="n"/>
      <c r="F23" s="91" t="n"/>
      <c r="G23" s="90" t="n"/>
    </row>
    <row r="24">
      <c r="B24" s="16" t="n"/>
      <c r="C24" s="20" t="n"/>
      <c r="D24" s="15" t="n"/>
      <c r="E24" s="15" t="n"/>
      <c r="F24" s="85" t="n"/>
      <c r="G24" s="15" t="n"/>
      <c r="H24" s="85" t="n"/>
      <c r="I24" s="85" t="n"/>
      <c r="J24" s="107" t="n"/>
    </row>
    <row r="25">
      <c r="C25" s="89" t="n"/>
      <c r="D25" s="90" t="n"/>
      <c r="E25" s="90" t="n"/>
      <c r="F25" s="91" t="n"/>
      <c r="G25" s="90" t="n"/>
    </row>
    <row r="26">
      <c r="B26" s="16" t="n"/>
      <c r="C26" s="20" t="n"/>
      <c r="D26" s="15" t="n"/>
      <c r="E26" s="15" t="n"/>
      <c r="F26" s="85" t="n"/>
      <c r="G26" s="15" t="n"/>
      <c r="H26" s="85" t="n"/>
      <c r="I26" s="85" t="n"/>
      <c r="J26" s="107" t="n"/>
    </row>
    <row r="27">
      <c r="C27" s="89" t="n"/>
      <c r="D27" s="90" t="n"/>
      <c r="E27" s="90" t="n"/>
      <c r="F27" s="91" t="n"/>
      <c r="G27" s="90" t="n"/>
    </row>
    <row r="28">
      <c r="B28" s="16" t="n"/>
      <c r="C28" s="20" t="n"/>
      <c r="D28" s="15" t="n"/>
      <c r="E28" s="15" t="n"/>
      <c r="F28" s="85" t="n"/>
      <c r="G28" s="15" t="n"/>
      <c r="H28" s="85" t="n"/>
      <c r="I28" s="85" t="n"/>
      <c r="J28" s="107" t="n"/>
    </row>
    <row r="29">
      <c r="C29" s="89" t="n"/>
      <c r="D29" s="90" t="n"/>
      <c r="E29" s="90" t="n"/>
      <c r="F29" s="91" t="n"/>
      <c r="G29" s="90" t="n"/>
    </row>
    <row r="30">
      <c r="B30" s="16" t="n"/>
      <c r="C30" s="20" t="n"/>
      <c r="D30" s="15" t="n"/>
      <c r="E30" s="15" t="n"/>
      <c r="F30" s="85" t="n"/>
      <c r="G30" s="15" t="n"/>
      <c r="H30" s="85" t="n"/>
      <c r="I30" s="85" t="n"/>
      <c r="J30" s="107" t="n"/>
    </row>
    <row r="31">
      <c r="C31" s="89" t="n"/>
      <c r="D31" s="90" t="n"/>
      <c r="E31" s="90" t="n"/>
      <c r="F31" s="91" t="n"/>
      <c r="G31" s="90" t="n"/>
    </row>
    <row r="32">
      <c r="B32" s="16" t="n"/>
      <c r="C32" s="20" t="n"/>
      <c r="D32" s="15" t="n"/>
      <c r="E32" s="15" t="n"/>
      <c r="F32" s="85" t="n"/>
      <c r="G32" s="15" t="n"/>
      <c r="H32" s="85" t="n"/>
      <c r="I32" s="85" t="n"/>
      <c r="J32" s="107" t="n"/>
    </row>
    <row r="33">
      <c r="C33" s="89" t="n"/>
      <c r="D33" s="90" t="n"/>
      <c r="E33" s="90" t="n"/>
      <c r="F33" s="91" t="n"/>
      <c r="G33" s="90" t="n"/>
    </row>
    <row r="34">
      <c r="B34" s="16" t="n"/>
      <c r="C34" s="20" t="n"/>
      <c r="D34" s="15" t="n"/>
      <c r="E34" s="15" t="n"/>
      <c r="F34" s="85" t="n"/>
      <c r="G34" s="15" t="n"/>
      <c r="H34" s="85" t="n"/>
      <c r="I34" s="85" t="n"/>
      <c r="J34" s="107" t="n"/>
    </row>
    <row r="35">
      <c r="C35" s="89" t="n"/>
      <c r="D35" s="90" t="n"/>
      <c r="E35" s="90" t="n"/>
      <c r="F35" s="91" t="n"/>
      <c r="G35" s="90" t="n"/>
    </row>
    <row r="36">
      <c r="B36" s="16" t="n"/>
      <c r="C36" s="20" t="n"/>
      <c r="D36" s="15" t="n"/>
      <c r="E36" s="15" t="n"/>
      <c r="F36" s="85" t="n"/>
      <c r="G36" s="15" t="n"/>
      <c r="H36" s="85" t="n"/>
      <c r="I36" s="85" t="n"/>
      <c r="J36" s="107" t="n"/>
    </row>
    <row r="37">
      <c r="C37" s="89" t="n"/>
      <c r="D37" s="90" t="n"/>
      <c r="E37" s="90" t="n"/>
      <c r="F37" s="91" t="n"/>
      <c r="G37" s="90" t="n"/>
    </row>
    <row r="38">
      <c r="B38" s="16" t="n"/>
      <c r="C38" s="20" t="n"/>
      <c r="D38" s="15" t="n"/>
      <c r="E38" s="15" t="n"/>
      <c r="F38" s="85" t="n"/>
      <c r="G38" s="15" t="n"/>
      <c r="H38" s="85" t="n"/>
      <c r="I38" s="85" t="n"/>
      <c r="J38" s="107" t="n"/>
    </row>
    <row r="39">
      <c r="C39" s="89" t="n"/>
      <c r="D39" s="90" t="n"/>
      <c r="E39" s="90" t="n"/>
      <c r="F39" s="91" t="n"/>
      <c r="G39" s="90" t="n"/>
    </row>
    <row r="40">
      <c r="B40" s="16" t="n"/>
      <c r="C40" s="20" t="n"/>
      <c r="D40" s="15" t="n"/>
      <c r="E40" s="15" t="n"/>
      <c r="F40" s="85" t="n"/>
      <c r="G40" s="15" t="n"/>
      <c r="H40" s="85" t="n"/>
      <c r="I40" s="85" t="n"/>
      <c r="J40" s="107" t="n"/>
    </row>
    <row r="41">
      <c r="C41" s="89" t="n"/>
      <c r="D41" s="90" t="n"/>
      <c r="E41" s="90" t="n"/>
      <c r="F41" s="91" t="n"/>
      <c r="G41" s="90" t="n"/>
    </row>
    <row r="42">
      <c r="B42" s="16" t="n"/>
      <c r="C42" s="20" t="n"/>
      <c r="D42" s="15" t="n"/>
      <c r="E42" s="15" t="n"/>
      <c r="F42" s="85" t="n"/>
      <c r="G42" s="15" t="n"/>
      <c r="H42" s="85" t="n"/>
      <c r="I42" s="85" t="n"/>
      <c r="J42" s="107" t="n"/>
    </row>
    <row r="43">
      <c r="C43" s="89" t="n"/>
      <c r="D43" s="90" t="n"/>
      <c r="E43" s="90" t="n"/>
      <c r="F43" s="91" t="n"/>
      <c r="G43" s="90" t="n"/>
    </row>
    <row r="44">
      <c r="A44" s="86" t="n"/>
      <c r="B44" s="86" t="n"/>
      <c r="C44" s="20" t="n"/>
      <c r="D44" s="15" t="n"/>
      <c r="E44" s="15" t="n"/>
      <c r="F44" s="85" t="n"/>
      <c r="G44" s="15" t="n"/>
      <c r="H44" s="85" t="n"/>
      <c r="I44" s="85" t="n"/>
      <c r="J44" s="107" t="n"/>
    </row>
    <row r="45">
      <c r="C45" s="89" t="n"/>
      <c r="D45" s="90" t="n"/>
      <c r="E45" s="90" t="n"/>
      <c r="F45" s="91" t="n"/>
      <c r="G45" s="90" t="n"/>
    </row>
    <row r="46">
      <c r="A46" s="86" t="n"/>
      <c r="B46" s="86" t="n"/>
      <c r="C46" s="20" t="n"/>
      <c r="D46" s="15" t="n"/>
      <c r="E46" s="15" t="n"/>
      <c r="F46" s="85" t="n"/>
      <c r="G46" s="15" t="n"/>
      <c r="H46" s="85" t="n"/>
      <c r="I46" s="85" t="n"/>
      <c r="J46" s="107" t="n"/>
    </row>
    <row r="47">
      <c r="C47" s="89" t="n"/>
      <c r="D47" s="90" t="n"/>
      <c r="E47" s="90" t="n"/>
      <c r="F47" s="91" t="n"/>
      <c r="G47" s="90" t="n"/>
    </row>
    <row r="48">
      <c r="A48" s="86" t="n"/>
      <c r="B48" s="86" t="n"/>
      <c r="C48" s="20" t="n"/>
      <c r="D48" s="15" t="n"/>
      <c r="E48" s="15" t="n"/>
      <c r="F48" s="85" t="n"/>
      <c r="G48" s="15" t="n"/>
      <c r="H48" s="85" t="n"/>
      <c r="I48" s="85" t="n"/>
      <c r="J48" s="107" t="n"/>
    </row>
    <row r="49">
      <c r="C49" s="89" t="n"/>
      <c r="D49" s="90" t="n"/>
      <c r="E49" s="90" t="n"/>
      <c r="F49" s="91" t="n"/>
      <c r="G49" s="90" t="n"/>
    </row>
    <row r="50">
      <c r="A50" s="86" t="n"/>
      <c r="B50" s="86" t="n"/>
      <c r="C50" s="20" t="n"/>
      <c r="D50" s="15" t="n"/>
      <c r="E50" s="15" t="n"/>
      <c r="F50" s="85" t="n"/>
      <c r="G50" s="15" t="n"/>
      <c r="H50" s="85" t="n"/>
      <c r="I50" s="85" t="n"/>
      <c r="J50" s="107" t="n"/>
    </row>
    <row r="51">
      <c r="C51" s="89" t="n"/>
      <c r="D51" s="90" t="n"/>
      <c r="E51" s="90" t="n"/>
      <c r="F51" s="91" t="n"/>
      <c r="G51" s="90" t="n"/>
    </row>
    <row r="52">
      <c r="A52" s="86" t="n"/>
      <c r="B52" s="86" t="n"/>
      <c r="C52" s="20" t="n"/>
      <c r="D52" s="15" t="n"/>
      <c r="E52" s="15" t="n"/>
      <c r="F52" s="85" t="n"/>
      <c r="G52" s="15" t="n"/>
      <c r="H52" s="85" t="n"/>
      <c r="I52" s="85" t="n"/>
      <c r="J52" s="107" t="n"/>
    </row>
    <row r="53">
      <c r="C53" s="89" t="n"/>
      <c r="D53" s="90" t="n"/>
      <c r="E53" s="90" t="n"/>
      <c r="F53" s="91" t="n"/>
      <c r="G53" s="90" t="n"/>
    </row>
    <row r="54">
      <c r="A54" s="86" t="n"/>
      <c r="B54" s="86" t="n"/>
      <c r="C54" s="20" t="n"/>
      <c r="D54" s="15" t="n"/>
      <c r="E54" s="15" t="n"/>
      <c r="F54" s="85" t="n"/>
      <c r="G54" s="15" t="n"/>
      <c r="H54" s="85" t="n"/>
      <c r="I54" s="85" t="n"/>
      <c r="J54" s="107" t="n"/>
    </row>
    <row r="55">
      <c r="C55" s="89" t="n"/>
      <c r="D55" s="90" t="n"/>
      <c r="E55" s="90" t="n"/>
      <c r="F55" s="91" t="n"/>
      <c r="G55" s="90" t="n"/>
    </row>
    <row r="56">
      <c r="A56" s="86" t="n"/>
      <c r="B56" s="86" t="n"/>
      <c r="C56" s="20" t="n"/>
      <c r="D56" s="15" t="n"/>
      <c r="E56" s="15" t="n"/>
      <c r="F56" s="85" t="n"/>
      <c r="G56" s="15" t="n"/>
      <c r="H56" s="85" t="n"/>
      <c r="I56" s="85" t="n"/>
      <c r="J56" s="107" t="n"/>
    </row>
    <row r="57">
      <c r="C57" s="89" t="n"/>
      <c r="D57" s="90" t="n"/>
      <c r="E57" s="90" t="n"/>
      <c r="F57" s="91" t="n"/>
      <c r="G57" s="90" t="n"/>
    </row>
    <row r="58">
      <c r="A58" s="86" t="n"/>
      <c r="B58" s="86" t="n"/>
      <c r="C58" s="20" t="n"/>
      <c r="D58" s="15" t="n"/>
      <c r="E58" s="15" t="n"/>
      <c r="F58" s="85" t="n"/>
      <c r="G58" s="15" t="n"/>
      <c r="H58" s="85" t="n"/>
      <c r="I58" s="85" t="n"/>
      <c r="J58" s="107" t="n"/>
    </row>
    <row r="59">
      <c r="C59" s="89" t="n"/>
      <c r="D59" s="90" t="n"/>
      <c r="E59" s="90" t="n"/>
      <c r="F59" s="91" t="n"/>
      <c r="G59" s="90" t="n"/>
    </row>
    <row r="60">
      <c r="A60" s="86" t="n"/>
      <c r="B60" s="86" t="n"/>
      <c r="C60" s="20" t="n"/>
      <c r="D60" s="15" t="n"/>
      <c r="E60" s="15" t="n"/>
      <c r="F60" s="85" t="n"/>
      <c r="G60" s="15" t="n"/>
      <c r="H60" s="85" t="n"/>
      <c r="I60" s="85" t="n"/>
      <c r="J60" s="107" t="n"/>
    </row>
    <row r="61">
      <c r="C61" s="89" t="n"/>
      <c r="D61" s="90" t="n"/>
      <c r="E61" s="90" t="n"/>
      <c r="F61" s="91" t="n"/>
      <c r="G61" s="90" t="n"/>
    </row>
    <row r="62">
      <c r="A62" s="86" t="n"/>
      <c r="B62" s="86" t="n"/>
      <c r="C62" s="20" t="n"/>
      <c r="D62" s="15" t="n"/>
      <c r="E62" s="15" t="n"/>
      <c r="F62" s="85" t="n"/>
      <c r="G62" s="15" t="n"/>
      <c r="H62" s="85" t="n"/>
      <c r="I62" s="85" t="n"/>
      <c r="J62" s="107" t="n"/>
    </row>
    <row r="63">
      <c r="C63" s="89" t="n"/>
      <c r="D63" s="90" t="n"/>
      <c r="E63" s="90" t="n"/>
      <c r="F63" s="91" t="n"/>
      <c r="G63" s="90" t="n"/>
    </row>
    <row r="64">
      <c r="A64" s="86" t="n"/>
      <c r="B64" s="86" t="n"/>
      <c r="C64" s="20" t="n"/>
      <c r="D64" s="15" t="n"/>
      <c r="E64" s="15" t="n"/>
      <c r="F64" s="85" t="n"/>
      <c r="G64" s="15" t="n"/>
      <c r="H64" s="85" t="n"/>
      <c r="I64" s="85" t="n"/>
      <c r="J64" s="107" t="n"/>
    </row>
    <row r="65">
      <c r="C65" s="89" t="n"/>
      <c r="D65" s="90" t="n"/>
      <c r="E65" s="90" t="n"/>
      <c r="F65" s="91" t="n"/>
      <c r="G65" s="90" t="n"/>
    </row>
    <row r="66">
      <c r="A66" s="86" t="n"/>
      <c r="B66" s="86" t="n"/>
      <c r="C66" s="20" t="n"/>
      <c r="D66" s="15" t="n"/>
      <c r="E66" s="15" t="n"/>
      <c r="F66" s="85" t="n"/>
      <c r="G66" s="15" t="n"/>
      <c r="H66" s="85" t="n"/>
      <c r="I66" s="85" t="n"/>
      <c r="J66" s="107" t="n"/>
    </row>
    <row r="67">
      <c r="C67" s="89" t="n"/>
      <c r="D67" s="90" t="n"/>
      <c r="E67" s="90" t="n"/>
      <c r="F67" s="91" t="n"/>
      <c r="G67" s="90" t="n"/>
    </row>
    <row r="68">
      <c r="A68" s="86" t="n"/>
      <c r="B68" s="86" t="n"/>
      <c r="C68" s="20" t="n"/>
      <c r="D68" s="15" t="n"/>
      <c r="E68" s="15" t="n"/>
      <c r="F68" s="85" t="n"/>
      <c r="G68" s="15" t="n"/>
      <c r="H68" s="85" t="n"/>
      <c r="I68" s="85" t="n"/>
      <c r="J68" s="107" t="n"/>
    </row>
    <row r="69">
      <c r="C69" s="89" t="n"/>
      <c r="D69" s="90" t="n"/>
      <c r="E69" s="90" t="n"/>
      <c r="F69" s="91" t="n"/>
      <c r="G69" s="90" t="n"/>
    </row>
    <row r="70">
      <c r="A70" s="86" t="n"/>
      <c r="B70" s="86" t="n"/>
      <c r="C70" s="20" t="n"/>
      <c r="D70" s="15" t="n"/>
      <c r="E70" s="15" t="n"/>
      <c r="F70" s="85" t="n"/>
      <c r="G70" s="15" t="n"/>
      <c r="H70" s="85" t="n"/>
      <c r="I70" s="85" t="n"/>
      <c r="J70" s="107" t="n"/>
    </row>
    <row r="71">
      <c r="C71" s="89" t="n"/>
      <c r="D71" s="90" t="n"/>
      <c r="E71" s="90" t="n"/>
      <c r="F71" s="91" t="n"/>
      <c r="G71" s="90" t="n"/>
    </row>
    <row r="72">
      <c r="A72" s="86" t="n"/>
      <c r="B72" s="86" t="n"/>
      <c r="C72" s="20" t="n"/>
      <c r="D72" s="15" t="n"/>
      <c r="E72" s="15" t="n"/>
      <c r="F72" s="85" t="n"/>
      <c r="G72" s="15" t="n"/>
      <c r="H72" s="85" t="n"/>
      <c r="I72" s="85" t="n"/>
      <c r="J72" s="107" t="n"/>
    </row>
    <row r="73">
      <c r="C73" s="89" t="n"/>
      <c r="D73" s="90" t="n"/>
      <c r="E73" s="90" t="n"/>
      <c r="F73" s="91" t="n"/>
      <c r="G73" s="90" t="n"/>
    </row>
    <row r="74">
      <c r="A74" s="86" t="n"/>
      <c r="B74" s="86" t="n"/>
      <c r="C74" s="20" t="n"/>
      <c r="D74" s="15" t="n"/>
      <c r="E74" s="15" t="n"/>
      <c r="F74" s="85" t="n"/>
      <c r="G74" s="15" t="n"/>
      <c r="H74" s="85" t="n"/>
      <c r="I74" s="85" t="n"/>
      <c r="J74" s="107" t="n"/>
    </row>
    <row r="75">
      <c r="C75" s="89" t="n"/>
      <c r="D75" s="90" t="n"/>
      <c r="E75" s="90" t="n"/>
      <c r="F75" s="91" t="n"/>
      <c r="G75" s="90" t="n"/>
    </row>
    <row r="76">
      <c r="A76" s="86" t="n"/>
      <c r="B76" s="86" t="n"/>
      <c r="C76" s="20" t="n"/>
      <c r="D76" s="15" t="n"/>
      <c r="E76" s="15" t="n"/>
      <c r="F76" s="85" t="n"/>
      <c r="G76" s="15" t="n"/>
      <c r="H76" s="85" t="n"/>
      <c r="I76" s="85" t="n"/>
      <c r="J76" s="107" t="n"/>
    </row>
    <row r="77">
      <c r="C77" s="89" t="n"/>
      <c r="D77" s="90" t="n"/>
      <c r="E77" s="90" t="n"/>
      <c r="F77" s="91" t="n"/>
      <c r="G77" s="90" t="n"/>
    </row>
    <row r="78">
      <c r="A78" s="86" t="n"/>
      <c r="B78" s="86" t="n"/>
      <c r="C78" s="20" t="n"/>
      <c r="D78" s="15" t="n"/>
      <c r="E78" s="15" t="n"/>
      <c r="F78" s="85" t="n"/>
      <c r="G78" s="15" t="n"/>
      <c r="H78" s="85" t="n"/>
      <c r="I78" s="85" t="n"/>
      <c r="J78" s="107" t="n"/>
    </row>
    <row r="79">
      <c r="C79" s="89" t="n"/>
      <c r="D79" s="90" t="n"/>
      <c r="E79" s="90" t="n"/>
      <c r="F79" s="91" t="n"/>
      <c r="G79" s="90" t="n"/>
    </row>
    <row r="80">
      <c r="A80" s="86" t="n"/>
      <c r="B80" s="86" t="n"/>
      <c r="C80" s="20" t="n"/>
      <c r="D80" s="15" t="n"/>
      <c r="E80" s="15" t="n"/>
      <c r="F80" s="85" t="n"/>
      <c r="G80" s="15" t="n"/>
      <c r="H80" s="85" t="n"/>
      <c r="I80" s="85" t="n"/>
      <c r="J80" s="107" t="n"/>
    </row>
    <row r="81">
      <c r="C81" s="89" t="n"/>
      <c r="D81" s="90" t="n"/>
      <c r="E81" s="90" t="n"/>
      <c r="F81" s="91" t="n"/>
      <c r="G81" s="90" t="n"/>
    </row>
    <row r="82">
      <c r="A82" s="86" t="n"/>
      <c r="B82" s="86" t="n"/>
      <c r="C82" s="20" t="n"/>
      <c r="D82" s="15" t="n"/>
      <c r="E82" s="15" t="n"/>
      <c r="F82" s="85" t="n"/>
      <c r="G82" s="15" t="n"/>
      <c r="H82" s="85" t="n"/>
      <c r="I82" s="85" t="n"/>
      <c r="J82" s="107" t="n"/>
    </row>
    <row r="83">
      <c r="C83" s="89" t="n"/>
      <c r="D83" s="90" t="n"/>
      <c r="E83" s="90" t="n"/>
      <c r="F83" s="91" t="n"/>
      <c r="G83" s="90" t="n"/>
    </row>
    <row r="84">
      <c r="A84" s="86" t="n"/>
      <c r="B84" s="86" t="n"/>
      <c r="C84" s="20" t="n"/>
      <c r="D84" s="15" t="n"/>
      <c r="E84" s="15" t="n"/>
      <c r="F84" s="85" t="n"/>
      <c r="G84" s="15" t="n"/>
      <c r="H84" s="85" t="n"/>
      <c r="I84" s="85" t="n"/>
      <c r="J84" s="107" t="n"/>
    </row>
    <row r="85">
      <c r="C85" s="89" t="n"/>
      <c r="D85" s="90" t="n"/>
      <c r="E85" s="90" t="n"/>
      <c r="F85" s="91" t="n"/>
      <c r="G85" s="90" t="n"/>
    </row>
    <row r="86">
      <c r="A86" s="86" t="n"/>
      <c r="B86" s="86" t="n"/>
      <c r="C86" s="20" t="n"/>
      <c r="D86" s="15" t="n"/>
      <c r="E86" s="15" t="n"/>
      <c r="F86" s="85" t="n"/>
      <c r="G86" s="15" t="n"/>
      <c r="H86" s="85" t="n"/>
      <c r="I86" s="85" t="n"/>
      <c r="J86" s="107" t="n"/>
    </row>
    <row r="87">
      <c r="C87" s="89" t="n"/>
      <c r="D87" s="90" t="n"/>
      <c r="E87" s="90" t="n"/>
      <c r="F87" s="91" t="n"/>
      <c r="G87" s="90" t="n"/>
    </row>
    <row r="88">
      <c r="A88" s="86" t="n"/>
      <c r="B88" s="86" t="n"/>
      <c r="C88" s="20" t="n"/>
      <c r="D88" s="15" t="n"/>
      <c r="E88" s="15" t="n"/>
      <c r="F88" s="85" t="n"/>
      <c r="G88" s="15" t="n"/>
      <c r="H88" s="85" t="n"/>
      <c r="I88" s="85" t="n"/>
      <c r="J88" s="107" t="n"/>
    </row>
    <row r="89">
      <c r="C89" s="89" t="n"/>
      <c r="D89" s="90" t="n"/>
      <c r="E89" s="90" t="n"/>
      <c r="F89" s="91" t="n"/>
      <c r="G89" s="90" t="n"/>
    </row>
    <row r="90">
      <c r="A90" s="86" t="n"/>
      <c r="B90" s="86" t="n"/>
      <c r="C90" s="20" t="n"/>
      <c r="D90" s="15" t="n"/>
      <c r="E90" s="15" t="n"/>
      <c r="F90" s="85" t="n"/>
      <c r="G90" s="15" t="n"/>
      <c r="H90" s="85" t="n"/>
      <c r="I90" s="85" t="n"/>
      <c r="J90" s="107" t="n"/>
    </row>
    <row r="91">
      <c r="C91" s="89" t="n"/>
      <c r="D91" s="90" t="n"/>
      <c r="E91" s="90" t="n"/>
      <c r="F91" s="91" t="n"/>
      <c r="G91" s="90" t="n"/>
    </row>
    <row r="92">
      <c r="A92" s="86" t="n"/>
      <c r="B92" s="86" t="n"/>
      <c r="C92" s="20" t="n"/>
      <c r="D92" s="15" t="n"/>
      <c r="E92" s="15" t="n"/>
      <c r="F92" s="85" t="n"/>
      <c r="G92" s="15" t="n"/>
      <c r="H92" s="85" t="n"/>
      <c r="I92" s="85" t="n"/>
      <c r="J92" s="107" t="n"/>
    </row>
    <row r="93">
      <c r="C93" s="89" t="n"/>
      <c r="D93" s="90" t="n"/>
      <c r="E93" s="90" t="n"/>
      <c r="F93" s="91" t="n"/>
      <c r="G93" s="90" t="n"/>
    </row>
    <row r="94">
      <c r="A94" s="86" t="n"/>
      <c r="B94" s="86" t="n"/>
      <c r="C94" s="20" t="n"/>
      <c r="D94" s="15" t="n"/>
      <c r="E94" s="15" t="n"/>
      <c r="F94" s="85" t="n"/>
      <c r="G94" s="15" t="n"/>
      <c r="H94" s="85" t="n"/>
      <c r="I94" s="85" t="n"/>
      <c r="J94" s="107" t="n"/>
    </row>
    <row r="95">
      <c r="C95" s="89" t="n"/>
      <c r="D95" s="90" t="n"/>
      <c r="E95" s="90" t="n"/>
      <c r="F95" s="91" t="n"/>
      <c r="G95" s="90" t="n"/>
    </row>
    <row r="96">
      <c r="A96" s="86" t="n"/>
      <c r="B96" s="86" t="n"/>
      <c r="C96" s="20" t="n"/>
      <c r="D96" s="15" t="n"/>
      <c r="E96" s="15" t="n"/>
      <c r="F96" s="85" t="n"/>
      <c r="G96" s="15" t="n"/>
      <c r="H96" s="85" t="n"/>
      <c r="I96" s="85" t="n"/>
      <c r="J96" s="107" t="n"/>
    </row>
    <row r="97">
      <c r="C97" s="89" t="n"/>
      <c r="D97" s="90" t="n"/>
      <c r="E97" s="90" t="n"/>
      <c r="F97" s="91" t="n"/>
      <c r="G97" s="90" t="n"/>
    </row>
    <row r="98">
      <c r="A98" s="86" t="n"/>
      <c r="B98" s="86" t="n"/>
      <c r="C98" s="20" t="n"/>
      <c r="D98" s="15" t="n"/>
      <c r="E98" s="15" t="n"/>
      <c r="F98" s="85" t="n"/>
      <c r="G98" s="15" t="n"/>
      <c r="H98" s="85" t="n"/>
      <c r="I98" s="85" t="n"/>
      <c r="J98" s="107" t="n"/>
    </row>
    <row r="99">
      <c r="C99" s="89" t="n"/>
      <c r="D99" s="90" t="n"/>
      <c r="E99" s="90" t="n"/>
      <c r="F99" s="91" t="n"/>
      <c r="G99" s="90" t="n"/>
    </row>
    <row r="100">
      <c r="A100" s="86" t="n"/>
      <c r="B100" s="86" t="n"/>
      <c r="C100" s="20" t="n"/>
      <c r="D100" s="15" t="n"/>
      <c r="E100" s="15" t="n"/>
      <c r="F100" s="85" t="n"/>
      <c r="G100" s="15" t="n"/>
      <c r="H100" s="85" t="n"/>
      <c r="I100" s="85" t="n"/>
      <c r="J100" s="107" t="n"/>
    </row>
    <row r="101">
      <c r="C101" s="89" t="n"/>
      <c r="D101" s="90" t="n"/>
      <c r="E101" s="90" t="n"/>
      <c r="F101" s="91" t="n"/>
      <c r="G101" s="90" t="n"/>
    </row>
    <row r="102">
      <c r="A102" s="86" t="n"/>
      <c r="B102" s="86" t="n"/>
      <c r="C102" s="20" t="n"/>
      <c r="D102" s="15" t="n"/>
      <c r="E102" s="15" t="n"/>
      <c r="F102" s="85" t="n"/>
      <c r="G102" s="15" t="n"/>
      <c r="H102" s="85" t="n"/>
      <c r="I102" s="85" t="n"/>
      <c r="J102" s="107" t="n"/>
    </row>
    <row r="103">
      <c r="C103" s="89" t="n"/>
      <c r="D103" s="90" t="n"/>
      <c r="E103" s="90" t="n"/>
      <c r="F103" s="91" t="n"/>
      <c r="G103" s="90" t="n"/>
    </row>
    <row r="104">
      <c r="A104" s="86" t="n"/>
      <c r="B104" s="86" t="n"/>
      <c r="C104" s="20" t="n"/>
      <c r="D104" s="15" t="n"/>
      <c r="E104" s="15" t="n"/>
      <c r="F104" s="85" t="n"/>
      <c r="G104" s="15" t="n"/>
      <c r="H104" s="85" t="n"/>
      <c r="I104" s="85" t="n"/>
      <c r="J104" s="107" t="n"/>
    </row>
    <row r="105">
      <c r="C105" s="89" t="n"/>
      <c r="D105" s="90" t="n"/>
      <c r="E105" s="90" t="n"/>
      <c r="F105" s="91" t="n"/>
      <c r="G105" s="90" t="n"/>
    </row>
    <row r="106">
      <c r="A106" s="86" t="n"/>
      <c r="B106" s="86" t="n"/>
      <c r="C106" s="20" t="n"/>
      <c r="D106" s="15" t="n"/>
      <c r="E106" s="15" t="n"/>
      <c r="F106" s="85" t="n"/>
      <c r="G106" s="15" t="n"/>
      <c r="H106" s="85" t="n"/>
      <c r="I106" s="85" t="n"/>
      <c r="J106" s="107" t="n"/>
    </row>
    <row r="107">
      <c r="C107" s="89" t="n"/>
      <c r="D107" s="90" t="n"/>
      <c r="E107" s="90" t="n"/>
      <c r="F107" s="91" t="n"/>
      <c r="G107" s="90" t="n"/>
    </row>
    <row r="108">
      <c r="A108" s="86" t="n"/>
      <c r="B108" s="86" t="n"/>
      <c r="C108" s="20" t="n"/>
      <c r="D108" s="15" t="n"/>
      <c r="E108" s="15" t="n"/>
      <c r="F108" s="85" t="n"/>
      <c r="G108" s="15" t="n"/>
      <c r="H108" s="85" t="n"/>
      <c r="I108" s="85" t="n"/>
      <c r="J108" s="107" t="n"/>
    </row>
    <row r="109">
      <c r="C109" s="89" t="n"/>
      <c r="D109" s="90" t="n"/>
      <c r="E109" s="90" t="n"/>
      <c r="F109" s="91" t="n"/>
      <c r="G109" s="90" t="n"/>
    </row>
    <row r="110">
      <c r="A110" s="86" t="n"/>
      <c r="B110" s="86" t="n"/>
      <c r="C110" s="20" t="n"/>
      <c r="D110" s="15" t="n"/>
      <c r="E110" s="15" t="n"/>
      <c r="F110" s="85" t="n"/>
      <c r="G110" s="15" t="n"/>
      <c r="H110" s="85" t="n"/>
      <c r="I110" s="85" t="n"/>
      <c r="J110" s="107" t="n"/>
    </row>
    <row r="111">
      <c r="C111" s="89" t="n"/>
      <c r="D111" s="90" t="n"/>
      <c r="E111" s="90" t="n"/>
      <c r="F111" s="91" t="n"/>
      <c r="G111" s="90" t="n"/>
    </row>
  </sheetData>
  <mergeCells count="14">
    <mergeCell ref="I3:I4"/>
    <mergeCell ref="I7:I8"/>
    <mergeCell ref="A7:A9"/>
    <mergeCell ref="B7:B8"/>
    <mergeCell ref="H3:H4"/>
    <mergeCell ref="J3:J4"/>
    <mergeCell ref="H5:H6"/>
    <mergeCell ref="J5:J6"/>
    <mergeCell ref="A3:A4"/>
    <mergeCell ref="H7:H8"/>
    <mergeCell ref="J7:J8"/>
    <mergeCell ref="I5:I6"/>
    <mergeCell ref="A5:A6"/>
    <mergeCell ref="A1:J1"/>
  </mergeCells>
  <conditionalFormatting sqref="A1 I2:J3 I9:J9 I14:J14 I16:J16 I18:J18 I20:J20 I22:J22 I24:J24 I26:J26 I28:J28 I30:J30 I32:J32 I34:J34 I36:J36 I38:J38 I40:J40 I42:J42 I44:J44 I46:J46 I48:J48 I50:J50 I52:J52 I54:J54 I56:J56 I58:J58 I60:J60 I62:J62 I64:J64 I66:J66 I68:J68 I70:J70 I72:J72 I74:J74 I76:J76 I78:J78 I80:J80 I82:J82 I84:J84 I86:J86 I88:J88 I90:J90 I92:J92 I94:J94 I96:J96 I98:J98 I100:J100 I102:J102 I104:J104 I106:J106 I108:J108 I110:J110 I112:J1048576">
    <cfRule type="cellIs" priority="79" operator="equal" dxfId="2">
      <formula>"Cerrado"</formula>
    </cfRule>
    <cfRule type="cellIs" priority="80" operator="equal" dxfId="0">
      <formula>"Abierto"</formula>
    </cfRule>
  </conditionalFormatting>
  <conditionalFormatting sqref="H2:H3 H9 H14 H16 H18 H20 H22 H24 H26 H28 H30 H32 H34 H36 H38 H40 H42 H44 H46 H48 H50 H52 H54 H56 H58 H60 H62 H64 H66 H68 H70 H72 H74 H76 H78 H80 H82 H84 H86 H88 H90 H92 H94 H96 H98 H100 H102 H104 H106 H108 H110 H112:H1048576">
    <cfRule type="cellIs" priority="77" operator="equal" dxfId="0">
      <formula>"No"</formula>
    </cfRule>
    <cfRule type="cellIs" priority="78" operator="equal" dxfId="2">
      <formula>"Si"</formula>
    </cfRule>
  </conditionalFormatting>
  <pageMargins left="0.7" right="0.7" top="0.75" bottom="0.75" header="0.3" footer="0.3"/>
  <pageSetup paperSize="9" scale="61" fitToHeight="0" orientation="landscape" r:id="rId1"/>
  <headerFooter>
    <oddHeader>&amp;C&amp;"-,Negrita"&amp;16&amp;KFF7D31CONTROL DE DOCUMENTOS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Hoja5">
    <outlinePr summaryBelow="1" summaryRight="1"/>
    <pageSetUpPr fitToPage="1"/>
  </sheetPr>
  <dimension ref="A1:K64"/>
  <sheetViews>
    <sheetView view="pageBreakPreview" topLeftCell="A47" zoomScale="85" zoomScaleNormal="70" zoomScaleSheetLayoutView="85" zoomScalePageLayoutView="70" workbookViewId="0">
      <selection activeCell="D63" sqref="D63"/>
    </sheetView>
  </sheetViews>
  <sheetFormatPr baseColWidth="10" defaultColWidth="11.453125" defaultRowHeight="14.5"/>
  <cols>
    <col width="11.453125" customWidth="1" style="19" min="1" max="2"/>
    <col width="23.54296875" customWidth="1" style="19" min="3" max="3"/>
    <col width="29.81640625" customWidth="1" style="58" min="4" max="4"/>
    <col width="22.7265625" bestFit="1" customWidth="1" style="58" min="5" max="5"/>
    <col width="12.7265625" customWidth="1" style="19" min="6" max="6"/>
    <col width="35.453125" bestFit="1" customWidth="1" style="58" min="7" max="7"/>
    <col width="9.54296875" customWidth="1" style="19" min="8" max="8"/>
    <col width="96.81640625" customWidth="1" style="59" min="9" max="9"/>
    <col hidden="1" width="9.81640625" customWidth="1" style="59" min="10" max="10"/>
    <col width="11.453125" customWidth="1" style="19" min="11" max="16384"/>
  </cols>
  <sheetData>
    <row r="1">
      <c r="A1" s="51" t="inlineStr">
        <is>
          <t>Nº</t>
        </is>
      </c>
      <c r="B1" s="51" t="inlineStr">
        <is>
          <t>Eval</t>
        </is>
      </c>
      <c r="C1" s="51" t="inlineStr">
        <is>
          <t>Nombre del documento</t>
        </is>
      </c>
      <c r="D1" s="52" t="inlineStr">
        <is>
          <t>Ref. documento</t>
        </is>
      </c>
      <c r="E1" s="52" t="inlineStr">
        <is>
          <t>Pto.</t>
        </is>
      </c>
      <c r="F1" s="51" t="inlineStr">
        <is>
          <t>Valoración</t>
        </is>
      </c>
      <c r="G1" s="53" t="inlineStr">
        <is>
          <t>Hallazgo</t>
        </is>
      </c>
      <c r="H1" s="54" t="inlineStr">
        <is>
          <t>Versión</t>
        </is>
      </c>
      <c r="I1" s="55" t="inlineStr">
        <is>
          <t>Discusión</t>
        </is>
      </c>
      <c r="J1" s="56" t="inlineStr">
        <is>
          <t>aa</t>
        </is>
      </c>
      <c r="K1" s="51" t="inlineStr">
        <is>
          <t>Estado</t>
        </is>
      </c>
    </row>
    <row r="2" ht="45.75" customHeight="1">
      <c r="A2" s="85" t="n">
        <v>1</v>
      </c>
      <c r="B2" s="86" t="inlineStr">
        <is>
          <t>SM</t>
        </is>
      </c>
      <c r="C2" s="86" t="inlineStr">
        <is>
          <t>Firmas documentación evaluada</t>
        </is>
      </c>
      <c r="D2" s="87" t="inlineStr">
        <is>
          <t>NA</t>
        </is>
      </c>
      <c r="E2" s="86" t="inlineStr">
        <is>
          <t>pestaña "Doc Evaluados" de este documento</t>
        </is>
      </c>
      <c r="F2" s="85" t="inlineStr">
        <is>
          <t>Crítico</t>
        </is>
      </c>
      <c r="G2" s="17" t="inlineStr">
        <is>
          <t>Hallazgo</t>
        </is>
      </c>
      <c r="H2" s="85" t="inlineStr">
        <is>
          <t>NA</t>
        </is>
      </c>
      <c r="I2" s="28" t="inlineStr">
        <is>
          <t>Todos los documentos evaluados deben estar debidamente firmados (ver aquellos que figuran sin firmar en la pestaña "Doc Evaluados")</t>
        </is>
      </c>
      <c r="J2" s="14">
        <f>IF(K2&lt;&gt;0,K2,#REF!)</f>
        <v/>
      </c>
      <c r="K2" s="85" t="inlineStr">
        <is>
          <t>Cerrado</t>
        </is>
      </c>
    </row>
    <row r="3">
      <c r="A3" s="109" t="n"/>
      <c r="B3" s="109" t="n"/>
      <c r="C3" s="109" t="n"/>
      <c r="D3" s="109" t="n"/>
      <c r="E3" s="109" t="n"/>
      <c r="F3" s="109" t="n"/>
      <c r="G3" s="30" t="inlineStr">
        <is>
          <t>Respuesta UTE (02/02/2026)</t>
        </is>
      </c>
      <c r="H3" s="20" t="n"/>
      <c r="I3" s="28" t="inlineStr">
        <is>
          <t>El anejo de estudio previo de seguridad se encuentra firmado (Pág 20)</t>
        </is>
      </c>
      <c r="J3" s="14">
        <f>IF(K3&lt;&gt;0,K3,J2)</f>
        <v/>
      </c>
      <c r="K3" s="109" t="n"/>
    </row>
    <row r="4">
      <c r="A4" s="108" t="n"/>
      <c r="B4" s="108" t="n"/>
      <c r="C4" s="108" t="n"/>
      <c r="D4" s="108" t="n"/>
      <c r="E4" s="108" t="n"/>
      <c r="F4" s="108" t="n"/>
      <c r="G4" s="30" t="inlineStr">
        <is>
          <t>Respuesta Exceltic (25/02/2026)</t>
        </is>
      </c>
      <c r="H4" s="20" t="n"/>
      <c r="I4" s="28" t="inlineStr">
        <is>
          <t>Se observa el documento firmado y se cierra el hallazgo.</t>
        </is>
      </c>
      <c r="J4" s="14">
        <f>IF(K4&lt;&gt;0,K4,J3)</f>
        <v/>
      </c>
      <c r="K4" s="108" t="n"/>
    </row>
    <row r="5" ht="45.75" customHeight="1">
      <c r="A5" s="85" t="n">
        <v>2</v>
      </c>
      <c r="B5" s="86" t="inlineStr">
        <is>
          <t>SM</t>
        </is>
      </c>
      <c r="C5" s="86" t="inlineStr">
        <is>
          <t>Anejo 27. Estudio Previo Seguridad</t>
        </is>
      </c>
      <c r="D5" s="87">
        <f>VLOOKUP(C5,'Doc Evaluados'!$A$1:$G$148,2,FALSE)</f>
        <v/>
      </c>
      <c r="E5" s="86" t="inlineStr">
        <is>
          <t>Apartado 1.1</t>
        </is>
      </c>
      <c r="F5" s="85" t="inlineStr">
        <is>
          <t>Informativo</t>
        </is>
      </c>
      <c r="G5" s="17" t="inlineStr">
        <is>
          <t>Hallazgo</t>
        </is>
      </c>
      <c r="H5" s="85" t="n">
        <v>4</v>
      </c>
      <c r="I5" s="28" t="inlineStr">
        <is>
          <t>En el apartado "1.1." se indica "Pendientes de recibir documentación de ADIF". Se solicita aclarar si se dispone de la significatividad del cambio.</t>
        </is>
      </c>
      <c r="J5" s="14">
        <f>IF(K5&lt;&gt;0,K5,#REF!)</f>
        <v/>
      </c>
      <c r="K5" s="85" t="inlineStr">
        <is>
          <t>Cerrado</t>
        </is>
      </c>
    </row>
    <row r="6">
      <c r="A6" s="109" t="n"/>
      <c r="B6" s="109" t="n"/>
      <c r="C6" s="109" t="n"/>
      <c r="D6" s="109" t="n"/>
      <c r="E6" s="109" t="n"/>
      <c r="F6" s="109" t="n"/>
      <c r="G6" s="30" t="inlineStr">
        <is>
          <t>Respuesta UTE (02/02/2026)</t>
        </is>
      </c>
      <c r="H6" s="20" t="n"/>
      <c r="I6" s="28" t="inlineStr">
        <is>
          <t>Se actualiza ya que se dispone de la significatividad</t>
        </is>
      </c>
      <c r="J6" s="14">
        <f>IF(K6&lt;&gt;0,K6,J5)</f>
        <v/>
      </c>
      <c r="K6" s="109" t="n"/>
    </row>
    <row r="7" ht="29" customHeight="1">
      <c r="A7" s="108" t="n"/>
      <c r="B7" s="108" t="n"/>
      <c r="C7" s="108" t="n"/>
      <c r="D7" s="108" t="n"/>
      <c r="E7" s="108" t="n"/>
      <c r="F7" s="108" t="n"/>
      <c r="G7" s="30" t="inlineStr">
        <is>
          <t>Respuesta Exceltic (25/02/2026)</t>
        </is>
      </c>
      <c r="H7" s="20" t="n"/>
      <c r="I7" s="28" t="inlineStr">
        <is>
          <t>Se da por cerrado el hallazgo.</t>
        </is>
      </c>
      <c r="J7" s="14">
        <f>IF(K7&lt;&gt;0,K7,J6)</f>
        <v/>
      </c>
      <c r="K7" s="108" t="n"/>
    </row>
    <row r="8" ht="45.75" customHeight="1">
      <c r="A8" s="85" t="n">
        <v>3</v>
      </c>
      <c r="B8" s="86" t="inlineStr">
        <is>
          <t>MRG
SM</t>
        </is>
      </c>
      <c r="C8" s="86" t="inlineStr">
        <is>
          <t>Anejo 27. Estudio Previo Seguridad</t>
        </is>
      </c>
      <c r="D8" s="87">
        <f>VLOOKUP(C8,'Doc Evaluados'!$A$1:$G$148,2,FALSE)</f>
        <v/>
      </c>
      <c r="E8" s="86" t="inlineStr">
        <is>
          <t>Apéndice 1 REP</t>
        </is>
      </c>
      <c r="F8" s="85" t="inlineStr">
        <is>
          <t>Importante</t>
        </is>
      </c>
      <c r="G8" s="17" t="inlineStr">
        <is>
          <t>Hallazgo</t>
        </is>
      </c>
      <c r="H8" s="85" t="n">
        <v>4</v>
      </c>
      <c r="I8" s="28" t="inlineStr">
        <is>
          <t>En el REP Peligro ID2 referente a drenajes de taludes se solicita revisar evidencias.</t>
        </is>
      </c>
      <c r="J8" s="14">
        <f>IF(K8&lt;&gt;0,K8,#REF!)</f>
        <v/>
      </c>
      <c r="K8" s="85" t="inlineStr">
        <is>
          <t>Abierto</t>
        </is>
      </c>
    </row>
    <row r="9">
      <c r="A9" s="108" t="n"/>
      <c r="B9" s="108" t="n"/>
      <c r="C9" s="108" t="n"/>
      <c r="D9" s="108" t="n"/>
      <c r="E9" s="108" t="n"/>
      <c r="F9" s="108" t="n"/>
      <c r="G9" s="30" t="inlineStr">
        <is>
          <t>Respuesta UTE (02/02/2026)</t>
        </is>
      </c>
      <c r="H9" s="20" t="n"/>
      <c r="I9" s="28" t="inlineStr">
        <is>
          <t>Se cancela el peligro ID.2 puesto que no existen taludes en el ámbito del proyecto.</t>
        </is>
      </c>
      <c r="J9" s="14">
        <f>IF(K9&lt;&gt;0,K9,J8)</f>
        <v/>
      </c>
      <c r="K9" s="108" t="n"/>
    </row>
    <row r="10">
      <c r="G10" s="30" t="n"/>
      <c r="H10" s="20" t="n"/>
      <c r="I10" s="28" t="n"/>
      <c r="J10" s="14" t="n"/>
    </row>
    <row r="11" ht="55.5" customHeight="1">
      <c r="A11" s="85" t="n"/>
      <c r="B11" s="86" t="n"/>
      <c r="C11" s="86" t="n"/>
      <c r="D11" s="87" t="n"/>
      <c r="E11" s="60" t="n"/>
      <c r="F11" s="85" t="n"/>
      <c r="G11" s="17" t="n"/>
      <c r="H11" s="85" t="n"/>
      <c r="I11" s="28" t="n"/>
      <c r="J11" s="14" t="n"/>
      <c r="K11" s="85" t="n"/>
    </row>
    <row r="12" ht="29" customHeight="1">
      <c r="G12" s="30" t="n"/>
      <c r="H12" s="20" t="n"/>
      <c r="I12" s="28" t="n"/>
      <c r="J12" s="14" t="n"/>
    </row>
    <row r="13">
      <c r="G13" s="30" t="n"/>
      <c r="H13" s="20" t="n"/>
      <c r="I13" s="28" t="n"/>
      <c r="J13" s="14" t="n"/>
    </row>
    <row r="14" ht="58" customHeight="1">
      <c r="A14" s="85" t="n"/>
      <c r="B14" s="86" t="n"/>
      <c r="C14" s="86" t="n"/>
      <c r="D14" s="87" t="n"/>
      <c r="E14" s="86" t="n"/>
      <c r="F14" s="85" t="n"/>
      <c r="G14" s="17" t="n"/>
      <c r="H14" s="85" t="n"/>
      <c r="I14" s="28" t="n"/>
      <c r="J14" s="14" t="n"/>
      <c r="K14" s="85" t="n"/>
    </row>
    <row r="15">
      <c r="G15" s="30" t="n"/>
      <c r="H15" s="20" t="n"/>
      <c r="I15" s="34" t="n"/>
      <c r="J15" s="14" t="n"/>
    </row>
    <row r="16" ht="101.5" customHeight="1">
      <c r="G16" s="30" t="n"/>
      <c r="H16" s="20" t="n"/>
      <c r="I16" s="28" t="n"/>
      <c r="J16" s="14" t="n"/>
    </row>
    <row r="17" ht="43.5" customHeight="1">
      <c r="G17" s="30" t="n"/>
      <c r="H17" s="57" t="n"/>
      <c r="I17" s="28" t="n"/>
      <c r="J17" s="14" t="n"/>
    </row>
    <row r="18">
      <c r="G18" s="30" t="n"/>
      <c r="H18" s="57" t="n"/>
      <c r="I18" s="28" t="n"/>
      <c r="J18" s="14" t="n"/>
    </row>
    <row r="19" ht="29" customHeight="1">
      <c r="A19" s="85" t="n"/>
      <c r="B19" s="86" t="n"/>
      <c r="C19" s="86" t="n"/>
      <c r="D19" s="87" t="n"/>
      <c r="E19" s="60" t="n"/>
      <c r="F19" s="85" t="n"/>
      <c r="G19" s="17" t="n"/>
      <c r="H19" s="85" t="n"/>
      <c r="I19" s="28" t="n"/>
      <c r="J19" s="14" t="n"/>
      <c r="K19" s="85" t="n"/>
    </row>
    <row r="20">
      <c r="G20" s="30" t="n"/>
      <c r="H20" s="20" t="n"/>
      <c r="I20" s="28" t="n"/>
      <c r="J20" s="14" t="n"/>
    </row>
    <row r="21">
      <c r="G21" s="30" t="n"/>
      <c r="H21" s="20" t="n"/>
      <c r="I21" s="28" t="n"/>
      <c r="J21" s="14" t="n"/>
    </row>
    <row r="22" ht="29" customHeight="1">
      <c r="A22" s="85" t="n"/>
      <c r="B22" s="86" t="n"/>
      <c r="C22" s="86" t="n"/>
      <c r="D22" s="87" t="n"/>
      <c r="E22" s="86" t="n"/>
      <c r="F22" s="85" t="n"/>
      <c r="G22" s="17" t="n"/>
      <c r="H22" s="85" t="n"/>
      <c r="I22" s="28" t="n"/>
      <c r="J22" s="14" t="n"/>
      <c r="K22" s="85" t="n"/>
    </row>
    <row r="23" ht="43.5" customHeight="1">
      <c r="G23" s="30" t="n"/>
      <c r="H23" s="20" t="n"/>
      <c r="I23" s="34" t="n"/>
      <c r="J23" s="14" t="n"/>
    </row>
    <row r="24" ht="116" customHeight="1">
      <c r="G24" s="30" t="n"/>
      <c r="H24" s="20" t="n"/>
      <c r="I24" s="28" t="n"/>
      <c r="J24" s="14" t="n"/>
    </row>
    <row r="25" ht="72.5" customHeight="1">
      <c r="G25" s="30" t="n"/>
      <c r="H25" s="57" t="n"/>
      <c r="I25" s="28" t="n"/>
      <c r="J25" s="14" t="n"/>
    </row>
    <row r="26" ht="43.5" customHeight="1">
      <c r="G26" s="30" t="n"/>
      <c r="H26" s="57" t="n"/>
      <c r="I26" s="28" t="n"/>
      <c r="J26" s="14" t="n"/>
    </row>
    <row r="27" ht="29" customHeight="1">
      <c r="A27" s="85" t="n"/>
      <c r="B27" s="86" t="n"/>
      <c r="C27" s="86" t="n"/>
      <c r="D27" s="87" t="n"/>
      <c r="E27" s="60" t="n"/>
      <c r="F27" s="85" t="n"/>
      <c r="G27" s="17" t="n"/>
      <c r="H27" s="85" t="n"/>
      <c r="I27" s="28" t="n"/>
      <c r="J27" s="14" t="n"/>
      <c r="K27" s="85" t="n"/>
    </row>
    <row r="28">
      <c r="G28" s="30" t="n"/>
      <c r="H28" s="20" t="n"/>
      <c r="I28" s="28" t="n"/>
      <c r="J28" s="14" t="n"/>
    </row>
    <row r="29">
      <c r="G29" s="30" t="n"/>
      <c r="H29" s="20" t="n"/>
      <c r="I29" s="28" t="n"/>
      <c r="J29" s="14" t="n"/>
    </row>
    <row r="30" ht="29" customHeight="1">
      <c r="A30" s="85" t="n"/>
      <c r="B30" s="86" t="n"/>
      <c r="C30" s="86" t="n"/>
      <c r="D30" s="87" t="n"/>
      <c r="E30" s="86" t="n"/>
      <c r="F30" s="85" t="n"/>
      <c r="G30" s="17" t="n"/>
      <c r="H30" s="85" t="n"/>
      <c r="I30" s="28" t="n"/>
      <c r="J30" s="14" t="n"/>
      <c r="K30" s="85" t="n"/>
    </row>
    <row r="31">
      <c r="G31" s="30" t="n"/>
      <c r="H31" s="20" t="n"/>
      <c r="I31" s="28" t="n"/>
      <c r="J31" s="14" t="n"/>
    </row>
    <row r="32" ht="43.5" customHeight="1">
      <c r="G32" s="30" t="n"/>
      <c r="H32" s="20" t="n"/>
      <c r="I32" s="28" t="n"/>
      <c r="J32" s="14" t="n"/>
    </row>
    <row r="33">
      <c r="G33" s="30" t="n"/>
      <c r="H33" s="57" t="n"/>
      <c r="I33" s="28" t="n"/>
      <c r="J33" s="14" t="n"/>
    </row>
    <row r="34">
      <c r="G34" s="30" t="n"/>
      <c r="H34" s="57" t="n"/>
      <c r="I34" s="28" t="n"/>
      <c r="J34" s="14" t="n"/>
    </row>
    <row r="35" ht="29" customHeight="1">
      <c r="A35" s="85" t="n"/>
      <c r="B35" s="86" t="n"/>
      <c r="C35" s="86" t="n"/>
      <c r="D35" s="87" t="n"/>
      <c r="E35" s="60" t="n"/>
      <c r="F35" s="85" t="n"/>
      <c r="G35" s="17" t="n"/>
      <c r="H35" s="85" t="n"/>
      <c r="I35" s="28" t="n"/>
      <c r="J35" s="14" t="n"/>
      <c r="K35" s="85" t="n"/>
    </row>
    <row r="36">
      <c r="G36" s="30" t="n"/>
      <c r="H36" s="20" t="n"/>
      <c r="I36" s="28" t="n"/>
      <c r="J36" s="14" t="n"/>
    </row>
    <row r="37">
      <c r="G37" s="30" t="n"/>
      <c r="H37" s="20" t="n"/>
      <c r="I37" s="28" t="n"/>
      <c r="J37" s="14" t="n"/>
    </row>
    <row r="38" ht="29" customHeight="1">
      <c r="A38" s="85" t="n"/>
      <c r="B38" s="86" t="n"/>
      <c r="C38" s="86" t="n"/>
      <c r="D38" s="87" t="n"/>
      <c r="E38" s="60" t="n"/>
      <c r="F38" s="85" t="n"/>
      <c r="G38" s="17" t="n"/>
      <c r="H38" s="85" t="n"/>
      <c r="I38" s="28" t="n"/>
      <c r="J38" s="14" t="n"/>
      <c r="K38" s="85" t="n"/>
    </row>
    <row r="39" ht="29" customHeight="1">
      <c r="G39" s="30" t="n"/>
      <c r="H39" s="20" t="n"/>
      <c r="I39" s="28" t="n"/>
      <c r="J39" s="14" t="n"/>
    </row>
    <row r="40">
      <c r="G40" s="30" t="n"/>
      <c r="H40" s="20" t="n"/>
      <c r="I40" s="28" t="n"/>
      <c r="J40" s="14" t="n"/>
    </row>
    <row r="41" ht="43.5" customHeight="1">
      <c r="A41" s="85" t="n"/>
      <c r="B41" s="86" t="n"/>
      <c r="C41" s="86" t="n"/>
      <c r="D41" s="87" t="n"/>
      <c r="E41" s="60" t="n"/>
      <c r="F41" s="85" t="n"/>
      <c r="G41" s="17" t="n"/>
      <c r="H41" s="85" t="n"/>
      <c r="I41" s="28" t="n"/>
      <c r="J41" s="14" t="n"/>
      <c r="K41" s="85" t="n"/>
    </row>
    <row r="42" ht="43.5" customHeight="1">
      <c r="G42" s="30" t="n"/>
      <c r="H42" s="20" t="n"/>
      <c r="I42" s="28" t="n"/>
      <c r="J42" s="14" t="n"/>
    </row>
    <row r="43" ht="29" customHeight="1">
      <c r="G43" s="30" t="n"/>
      <c r="H43" s="20" t="n"/>
      <c r="I43" s="28" t="n"/>
      <c r="J43" s="14" t="n"/>
    </row>
    <row r="44" ht="29" customHeight="1">
      <c r="A44" s="85" t="n"/>
      <c r="B44" s="86" t="n"/>
      <c r="C44" s="86" t="n"/>
      <c r="D44" s="87" t="n"/>
      <c r="E44" s="60" t="n"/>
      <c r="F44" s="85" t="n"/>
      <c r="G44" s="17" t="n"/>
      <c r="H44" s="85" t="n"/>
      <c r="I44" s="28" t="n"/>
      <c r="J44" s="14" t="n"/>
      <c r="K44" s="85" t="n"/>
    </row>
    <row r="45">
      <c r="G45" s="30" t="n"/>
      <c r="H45" s="20" t="n"/>
      <c r="I45" s="35" t="n"/>
      <c r="J45" s="14" t="n"/>
    </row>
    <row r="46">
      <c r="G46" s="30" t="n"/>
      <c r="H46" s="20" t="n"/>
      <c r="I46" s="28" t="n"/>
      <c r="J46" s="14" t="n"/>
    </row>
    <row r="47" ht="43.5" customHeight="1">
      <c r="A47" s="85" t="n"/>
      <c r="B47" s="86" t="n"/>
      <c r="C47" s="86" t="n"/>
      <c r="D47" s="87" t="n"/>
      <c r="E47" s="86" t="n"/>
      <c r="F47" s="85" t="n"/>
      <c r="G47" s="17" t="n"/>
      <c r="H47" s="85" t="n"/>
      <c r="I47" s="28" t="n"/>
      <c r="J47" s="14" t="n"/>
      <c r="K47" s="85" t="n"/>
    </row>
    <row r="48">
      <c r="G48" s="30" t="n"/>
      <c r="H48" s="20" t="n"/>
      <c r="I48" s="35" t="n"/>
      <c r="J48" s="14" t="n"/>
    </row>
    <row r="49">
      <c r="G49" s="30" t="n"/>
      <c r="H49" s="20" t="n"/>
      <c r="I49" s="28" t="n"/>
      <c r="J49" s="14" t="n"/>
    </row>
    <row r="50" ht="29" customHeight="1">
      <c r="A50" s="85" t="n"/>
      <c r="B50" s="86" t="n"/>
      <c r="C50" s="86" t="n"/>
      <c r="D50" s="87" t="n"/>
      <c r="E50" s="60" t="n"/>
      <c r="F50" s="85" t="n"/>
      <c r="G50" s="17" t="n"/>
      <c r="H50" s="85" t="n"/>
      <c r="I50" s="28" t="n"/>
      <c r="J50" s="14" t="n"/>
      <c r="K50" s="85" t="n"/>
    </row>
    <row r="51" ht="29" customHeight="1">
      <c r="G51" s="30" t="n"/>
      <c r="H51" s="20" t="n"/>
      <c r="I51" s="28" t="n"/>
      <c r="J51" s="14" t="n"/>
    </row>
    <row r="52">
      <c r="G52" s="30" t="n"/>
      <c r="H52" s="57" t="n"/>
      <c r="I52" s="28" t="n"/>
      <c r="J52" s="14" t="n"/>
    </row>
    <row r="53" ht="58" customHeight="1">
      <c r="A53" s="85" t="n"/>
      <c r="B53" s="86" t="n"/>
      <c r="C53" s="86" t="n"/>
      <c r="D53" s="87" t="n"/>
      <c r="E53" s="86" t="n"/>
      <c r="F53" s="85" t="n"/>
      <c r="G53" s="17" t="n"/>
      <c r="H53" s="85" t="n"/>
      <c r="I53" s="28" t="n"/>
      <c r="J53" s="14" t="n"/>
      <c r="K53" s="85" t="n"/>
    </row>
    <row r="54" ht="43.5" customHeight="1">
      <c r="G54" s="30" t="n"/>
      <c r="H54" s="20" t="n"/>
      <c r="I54" s="28" t="n"/>
      <c r="J54" s="14" t="n"/>
    </row>
    <row r="55">
      <c r="G55" s="30" t="n"/>
      <c r="H55" s="57" t="n"/>
      <c r="I55" s="28" t="n"/>
      <c r="J55" s="14" t="n"/>
    </row>
    <row r="56" ht="87" customHeight="1">
      <c r="A56" s="85" t="n"/>
      <c r="B56" s="86" t="n"/>
      <c r="C56" s="86" t="n"/>
      <c r="D56" s="87" t="n"/>
      <c r="E56" s="86" t="n"/>
      <c r="F56" s="85" t="n"/>
      <c r="G56" s="17" t="n"/>
      <c r="H56" s="85" t="n"/>
      <c r="I56" s="28" t="n"/>
      <c r="J56" s="14" t="n"/>
      <c r="K56" s="85" t="n"/>
    </row>
    <row r="57" ht="43.5" customHeight="1">
      <c r="G57" s="30" t="n"/>
      <c r="H57" s="20" t="n"/>
      <c r="I57" s="28" t="n"/>
      <c r="J57" s="14" t="n"/>
    </row>
    <row r="58">
      <c r="G58" s="30" t="n"/>
      <c r="H58" s="20" t="n"/>
      <c r="I58" s="28" t="n"/>
      <c r="J58" s="14" t="n"/>
    </row>
    <row r="59" ht="87" customHeight="1">
      <c r="A59" s="85" t="n"/>
      <c r="B59" s="86" t="n"/>
      <c r="C59" s="86" t="n"/>
      <c r="D59" s="87" t="n"/>
      <c r="E59" s="86" t="n"/>
      <c r="F59" s="85" t="n"/>
      <c r="G59" s="17" t="n"/>
      <c r="H59" s="85" t="n"/>
      <c r="I59" s="28" t="n"/>
      <c r="J59" s="14" t="n"/>
      <c r="K59" s="85" t="n"/>
    </row>
    <row r="60" ht="43.5" customHeight="1">
      <c r="G60" s="30" t="n"/>
      <c r="H60" s="20" t="n"/>
      <c r="I60" s="28" t="n"/>
      <c r="J60" s="14" t="n"/>
    </row>
    <row r="61">
      <c r="G61" s="30" t="n"/>
      <c r="H61" s="20" t="n"/>
      <c r="I61" s="28" t="n"/>
      <c r="J61" s="14" t="n"/>
    </row>
    <row r="62">
      <c r="D62" s="19" t="n"/>
      <c r="E62" s="19" t="n"/>
      <c r="G62" s="19" t="n"/>
      <c r="I62" s="19" t="n"/>
      <c r="J62" s="19" t="n"/>
    </row>
    <row r="63">
      <c r="D63" s="19" t="n"/>
      <c r="E63" s="19" t="n"/>
      <c r="G63" s="19" t="n"/>
      <c r="I63" s="19" t="n"/>
      <c r="J63" s="19" t="n"/>
    </row>
    <row r="64">
      <c r="D64" s="19" t="n"/>
      <c r="E64" s="19" t="n"/>
      <c r="G64" s="19" t="n"/>
      <c r="I64" s="19" t="n"/>
      <c r="J64" s="19" t="n"/>
    </row>
  </sheetData>
  <autoFilter ref="A1:K29">
    <filterColumn colId="6" hiddenButton="0" showButton="0"/>
  </autoFilter>
  <mergeCells count="21">
    <mergeCell ref="E8:E9"/>
    <mergeCell ref="D5:D7"/>
    <mergeCell ref="B5:B7"/>
    <mergeCell ref="D8:D9"/>
    <mergeCell ref="D2:D4"/>
    <mergeCell ref="A5:A7"/>
    <mergeCell ref="A8:A9"/>
    <mergeCell ref="C8:C9"/>
    <mergeCell ref="F5:F7"/>
    <mergeCell ref="A2:A4"/>
    <mergeCell ref="C2:C4"/>
    <mergeCell ref="B8:B9"/>
    <mergeCell ref="F8:F9"/>
    <mergeCell ref="K8:K9"/>
    <mergeCell ref="B2:B4"/>
    <mergeCell ref="F2:F4"/>
    <mergeCell ref="E2:E4"/>
    <mergeCell ref="K2:K4"/>
    <mergeCell ref="K5:K7"/>
    <mergeCell ref="C5:C7"/>
    <mergeCell ref="E5:E7"/>
  </mergeCells>
  <pageMargins left="0.7" right="0.7" top="0.75" bottom="0.75" header="0.3" footer="0.3"/>
  <pageSetup paperSize="9" scale="50" fitToHeight="0" orientation="landscape" r:id="rId1"/>
  <headerFooter>
    <oddHeader>&amp;C&amp;"-,Negrita"&amp;18&amp;KFF7D31LISTADO DE PUNTOS ABIERTOS</oddHeader>
  </headerFooter>
  <extLst>
    <ext xmlns:x14="http://schemas.microsoft.com/office/spreadsheetml/2009/9/main" uri="{78C0D931-6437-407d-A8EE-F0AAD7539E65}">
      <x14:conditionalFormattings>
        <x14:conditionalFormatting xmlns:xm="http://schemas.microsoft.com/office/excel/2006/main">
          <x14:cfRule type="cellIs" priority="223" operator="equal" id="{7B001F4A-93DA-42D0-8666-225D1C3BE3C8}">
            <xm:f>Leyenda!$B$17</xm:f>
            <x14:dxf>
              <font>
                <color rgb="FF006100"/>
              </font>
              <fill>
                <patternFill>
                  <bgColor rgb="FFC6EFCE"/>
                </patternFill>
              </fill>
            </x14:dxf>
          </x14:cfRule>
          <x14:cfRule type="cellIs" priority="224" operator="equal" id="{418D57FB-9EEA-400F-ACFE-2D0F2B564B9A}">
            <xm:f>Leyenda!$B$16</xm:f>
            <x14:dxf>
              <font>
                <color rgb="FF9C5700"/>
              </font>
              <fill>
                <patternFill>
                  <bgColor rgb="FFFFEB9C"/>
                </patternFill>
              </fill>
            </x14:dxf>
          </x14:cfRule>
          <x14:cfRule type="cellIs" priority="225" operator="equal" id="{01B32422-E870-4801-B8A3-F2D94CACBBE8}">
            <xm:f>Leyenda!$B$15</xm:f>
            <x14:dxf>
              <font>
                <color rgb="FF9C0006"/>
              </font>
              <fill>
                <patternFill>
                  <bgColor rgb="FFFFC7CE"/>
                </patternFill>
              </fill>
            </x14:dxf>
          </x14:cfRule>
          <xm:sqref>K2:K9 K35:K35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A0CCAFB-F361-46BE-B77B-4F24DBE1EA73}">
          <x14:formula1>
            <xm:f>Leyenda!$B$7:$B$10</xm:f>
          </x14:formula1>
          <xm:sqref>F2:F9 F35:F35</xm:sqref>
        </x14:dataValidation>
        <x14:dataValidation type="list" allowBlank="1" showInputMessage="1" showErrorMessage="1" xr:uid="{A9FE8DE3-A911-4D96-91FA-B2D64D3C313A}">
          <x14:formula1>
            <xm:f>Leyenda!$B$15:$B$17</xm:f>
          </x14:formula1>
          <xm:sqref>K2:K9 K35:K35</xm:sqref>
        </x14:dataValidation>
        <x14:dataValidation type="list" allowBlank="1" showInputMessage="1" showErrorMessage="1" xr:uid="{B96BC694-8953-4405-BB2A-C2E9C8D852AC}">
          <x14:formula1>
            <xm:f>'Doc Evaluados'!$A$3:$A$111</xm:f>
          </x14:formula1>
          <xm:sqref>C5:C9 C35:C35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Hoja6">
    <outlinePr summaryBelow="1" summaryRight="1"/>
    <pageSetUpPr fitToPage="1"/>
  </sheetPr>
  <dimension ref="B3:D9"/>
  <sheetViews>
    <sheetView view="pageBreakPreview" zoomScaleNormal="100" zoomScaleSheetLayoutView="100" workbookViewId="0">
      <selection activeCell="F6" sqref="F6"/>
    </sheetView>
  </sheetViews>
  <sheetFormatPr baseColWidth="10" defaultColWidth="11.453125" defaultRowHeight="14.5"/>
  <cols>
    <col width="16.453125" bestFit="1" customWidth="1" min="1" max="1"/>
    <col width="19.08984375" bestFit="1" customWidth="1" min="2" max="2"/>
    <col width="10.1796875" bestFit="1" customWidth="1" min="3" max="3"/>
    <col width="12" bestFit="1" customWidth="1" min="4" max="4"/>
    <col width="11.7265625" bestFit="1" customWidth="1" min="5" max="5"/>
    <col width="12.54296875" bestFit="1" customWidth="1" min="6" max="7"/>
  </cols>
  <sheetData>
    <row r="3">
      <c r="B3" s="22" t="inlineStr">
        <is>
          <t>Cuenta de Valoración</t>
        </is>
      </c>
      <c r="C3" s="22" t="inlineStr">
        <is>
          <t>Número</t>
        </is>
      </c>
    </row>
    <row r="4">
      <c r="B4" s="22" t="inlineStr">
        <is>
          <t>Etiquetas de fila</t>
        </is>
      </c>
      <c r="C4" s="95" t="inlineStr">
        <is>
          <t>Cerrado</t>
        </is>
      </c>
      <c r="D4" s="96" t="inlineStr">
        <is>
          <t>Total general</t>
        </is>
      </c>
    </row>
    <row r="5">
      <c r="B5" s="1" t="inlineStr">
        <is>
          <t>Crítico</t>
        </is>
      </c>
      <c r="C5" s="95" t="n">
        <v>6</v>
      </c>
      <c r="D5" s="96" t="n">
        <v>6</v>
      </c>
    </row>
    <row r="6">
      <c r="B6" s="1" t="inlineStr">
        <is>
          <t>Importante</t>
        </is>
      </c>
      <c r="C6" s="95" t="n">
        <v>8</v>
      </c>
      <c r="D6" s="96" t="n">
        <v>8</v>
      </c>
    </row>
    <row r="7">
      <c r="B7" s="1" t="inlineStr">
        <is>
          <t>Informativo</t>
        </is>
      </c>
      <c r="C7" s="95" t="n">
        <v>2</v>
      </c>
      <c r="D7" s="96" t="n">
        <v>2</v>
      </c>
    </row>
    <row r="8">
      <c r="B8" s="1" t="inlineStr">
        <is>
          <t>Formal</t>
        </is>
      </c>
      <c r="C8" s="95" t="n">
        <v>2</v>
      </c>
      <c r="D8" s="96" t="n">
        <v>2</v>
      </c>
    </row>
    <row r="9">
      <c r="B9" s="23" t="inlineStr">
        <is>
          <t>Total general</t>
        </is>
      </c>
      <c r="C9" s="95" t="n">
        <v>18</v>
      </c>
      <c r="D9" s="96" t="n">
        <v>18</v>
      </c>
    </row>
  </sheetData>
  <pageMargins left="0.7" right="0.7" top="0.75" bottom="0.75" header="0.3" footer="0.3"/>
  <pageSetup paperSize="9" scale="93" fitToHeight="0" orientation="landscape" r:id="rId2"/>
  <headerFooter>
    <oddHeader>&amp;C&amp;"-,Negrita"&amp;16&amp;KFF7D31RESUMEN COMENTARIOS</oddHead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Hoja4">
    <outlinePr summaryBelow="1" summaryRight="1"/>
    <pageSetUpPr fitToPage="1"/>
  </sheetPr>
  <dimension ref="A1:C17"/>
  <sheetViews>
    <sheetView tabSelected="1" view="pageBreakPreview" zoomScale="85" zoomScaleNormal="85" zoomScaleSheetLayoutView="85" zoomScalePageLayoutView="55" workbookViewId="0">
      <selection activeCell="C21" sqref="C21"/>
    </sheetView>
  </sheetViews>
  <sheetFormatPr baseColWidth="10" defaultColWidth="11.453125" defaultRowHeight="14.5"/>
  <cols>
    <col width="16" customWidth="1" style="2" min="1" max="1"/>
    <col width="15.1796875" customWidth="1" style="3" min="2" max="2"/>
    <col width="91.54296875" customWidth="1" min="3" max="3"/>
  </cols>
  <sheetData>
    <row r="1">
      <c r="A1" s="88" t="inlineStr">
        <is>
          <t>Leyenda LPA</t>
        </is>
      </c>
      <c r="B1" s="104" t="n"/>
      <c r="C1" s="105" t="n"/>
    </row>
    <row r="2">
      <c r="A2" s="9" t="inlineStr">
        <is>
          <t>Nº</t>
        </is>
      </c>
      <c r="B2" s="12" t="n"/>
      <c r="C2" s="11" t="inlineStr">
        <is>
          <t>Número de Punto Abierto o hallazgo detectado</t>
        </is>
      </c>
    </row>
    <row r="3" ht="29" customHeight="1">
      <c r="A3" s="9" t="inlineStr">
        <is>
          <t>Eval.</t>
        </is>
      </c>
      <c r="B3" s="12" t="n"/>
      <c r="C3" s="11" t="inlineStr">
        <is>
          <t>Identificación del asesor que genera las observaciones relacionadas con el subsistema/componente indicado</t>
        </is>
      </c>
    </row>
    <row r="4">
      <c r="A4" s="9" t="inlineStr">
        <is>
          <t>Ref. Documento</t>
        </is>
      </c>
      <c r="B4" s="12" t="n"/>
      <c r="C4" s="11" t="inlineStr">
        <is>
          <t>Código de documento evaluado objeto del Punto Abierto</t>
        </is>
      </c>
    </row>
    <row r="5">
      <c r="A5" s="9" t="inlineStr">
        <is>
          <t>Pto.</t>
        </is>
      </c>
      <c r="B5" s="12" t="n"/>
      <c r="C5" s="11" t="inlineStr">
        <is>
          <t>Capítulo de referencia en el documento</t>
        </is>
      </c>
    </row>
    <row r="6">
      <c r="A6" s="9" t="inlineStr">
        <is>
          <t>Valoración:</t>
        </is>
      </c>
      <c r="B6" s="12" t="n"/>
      <c r="C6" s="11" t="inlineStr">
        <is>
          <t>Clasificación de los hallazgos en función de su criticidad</t>
        </is>
      </c>
    </row>
    <row r="7" ht="29" customHeight="1">
      <c r="A7" s="10" t="n"/>
      <c r="B7" s="13" t="inlineStr">
        <is>
          <t>Crítico</t>
        </is>
      </c>
      <c r="C7" s="11" t="inlineStr">
        <is>
          <t>Comentarios que son potencialmente bloqueantes para la evaluación de seguridad. Las consecuencias de no corregir la desviación afectan directamente a la seguridad del sistema y su corrección es obligatoria</t>
        </is>
      </c>
    </row>
    <row r="8" ht="29" customHeight="1">
      <c r="A8" s="10" t="n"/>
      <c r="B8" s="13" t="inlineStr">
        <is>
          <t>Importante</t>
        </is>
      </c>
      <c r="C8" s="11" t="inlineStr">
        <is>
          <t>Comentarios no bloqueantes, directamente o por si solos, para la evaluación de seguridad. El comentario es importante pero no está directamente relacionado con la seguridad del sistema</t>
        </is>
      </c>
    </row>
    <row r="9">
      <c r="A9" s="10" t="n"/>
      <c r="B9" s="13" t="inlineStr">
        <is>
          <t>Informativo</t>
        </is>
      </c>
      <c r="C9" s="11" t="inlineStr">
        <is>
          <t>Se requiere información adicional</t>
        </is>
      </c>
    </row>
    <row r="10">
      <c r="A10" s="10" t="n"/>
      <c r="B10" s="13" t="inlineStr">
        <is>
          <t>Formal</t>
        </is>
      </c>
      <c r="C10" s="11" t="inlineStr">
        <is>
          <t>Comentarios acerca de la consistencia formal de la información recibida</t>
        </is>
      </c>
    </row>
    <row r="11">
      <c r="A11" s="9" t="inlineStr">
        <is>
          <t>Observaciones</t>
        </is>
      </c>
      <c r="B11" s="12" t="n"/>
      <c r="C11" s="11" t="n"/>
    </row>
    <row r="12">
      <c r="A12" s="10" t="n"/>
      <c r="B12" s="13" t="inlineStr">
        <is>
          <t>Hallazgo:</t>
        </is>
      </c>
      <c r="C12" s="11" t="inlineStr">
        <is>
          <t>Descripción del comentario o desviación detectada por el ISA</t>
        </is>
      </c>
    </row>
    <row r="13">
      <c r="A13" s="10" t="n"/>
      <c r="B13" s="13" t="inlineStr">
        <is>
          <t>Discusión:</t>
        </is>
      </c>
      <c r="C13" s="11" t="inlineStr">
        <is>
          <t>Respuesta al hallazgo por parte del solicitante y comentarios del ISA (recurrente si corresponde)</t>
        </is>
      </c>
    </row>
    <row r="14">
      <c r="A14" s="9" t="inlineStr">
        <is>
          <t>Estado:</t>
        </is>
      </c>
      <c r="B14" s="12" t="n"/>
      <c r="C14" s="11" t="inlineStr">
        <is>
          <t>Estado de los distintos hallazgos a gestionar a través del Listado de Puntos Abiertos</t>
        </is>
      </c>
    </row>
    <row r="15" ht="29" customHeight="1">
      <c r="A15" s="10" t="n"/>
      <c r="B15" s="13" t="inlineStr">
        <is>
          <t>Abierto</t>
        </is>
      </c>
      <c r="C15" s="11" t="inlineStr">
        <is>
          <t>El hallazgo ha sido comunicado al solicitante, que o no ha propuesto ninguna acción o éstas no son consideradas suficientes por el Organismo Evaluador para su resolución favorable</t>
        </is>
      </c>
    </row>
    <row r="16" ht="29" customHeight="1">
      <c r="A16" s="10" t="n"/>
      <c r="B16" s="13" t="inlineStr">
        <is>
          <t>Resuelto</t>
        </is>
      </c>
      <c r="C16" s="11" t="inlineStr">
        <is>
          <t>La acción definida en la respuesta del solicitante ha sido evaluada favorablemente por el Organismo Evaluador que otorga la aceptación a la misma pendiente de comprobar su correcta ejecución</t>
        </is>
      </c>
    </row>
    <row r="17" ht="29" customHeight="1">
      <c r="A17" s="10" t="n"/>
      <c r="B17" s="13" t="inlineStr">
        <is>
          <t>Cerrado</t>
        </is>
      </c>
      <c r="C17" s="11" t="inlineStr">
        <is>
          <t>Las acciones definidas en la respuesta del solicitante son ejecutadas y verificadas por el Organismo Evaluador que cierra la desviación</t>
        </is>
      </c>
    </row>
  </sheetData>
  <mergeCells count="1">
    <mergeCell ref="A1:C1"/>
  </mergeCells>
  <pageMargins left="0.7" right="0.7" top="0.75" bottom="0.75" header="0.3" footer="0.3"/>
  <pageSetup paperSize="9" scale="62" fitToHeight="0" orientation="portrait" r:id="rId1"/>
  <headerFooter>
    <oddHeader>&amp;C&amp;"-,Negrita"&amp;16&amp;KFF7D31LEYENDA</oddHead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oscar.nava</dc:creator>
  <dcterms:created xmlns:dcterms="http://purl.org/dc/terms/" xmlns:xsi="http://www.w3.org/2001/XMLSchema-instance" xsi:type="dcterms:W3CDTF">2015-06-05T18:19:34Z</dcterms:created>
  <dcterms:modified xmlns:dcterms="http://purl.org/dc/terms/" xmlns:xsi="http://www.w3.org/2001/XMLSchema-instance" xsi:type="dcterms:W3CDTF">2026-06-29T11:21:28Z</dcterms:modified>
  <cp:lastModifiedBy>ROBERTO ABAD MARCOS</cp:lastModifiedBy>
  <cp:lastPrinted>2026-06-05T10:19:21Z</cp:lastPrinted>
</cp:coreProperties>
</file>